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comments6.xml" ContentType="application/vnd.openxmlformats-officedocument.spreadsheetml.comments+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musta\OneDrive\Desktop\"/>
    </mc:Choice>
  </mc:AlternateContent>
  <xr:revisionPtr revIDLastSave="0" documentId="13_ncr:1_{042CFFE2-AF0F-4C27-80C0-BAA44214C2C4}" xr6:coauthVersionLast="47" xr6:coauthVersionMax="47" xr10:uidLastSave="{00000000-0000-0000-0000-000000000000}"/>
  <bookViews>
    <workbookView xWindow="-120" yWindow="-120" windowWidth="29040" windowHeight="15840" tabRatio="751" activeTab="8" xr2:uid="{00000000-000D-0000-FFFF-FFFF00000000}"/>
  </bookViews>
  <sheets>
    <sheet name="Cover Page" sheetId="21" r:id="rId1"/>
    <sheet name="Balance Sheet" sheetId="2" r:id="rId2"/>
    <sheet name="Income Statement" sheetId="6" r:id="rId3"/>
    <sheet name="Cashflow Statement" sheetId="5" r:id="rId4"/>
    <sheet name="Relative Valuation" sheetId="16" r:id="rId5"/>
    <sheet name="EBV" sheetId="8" r:id="rId6"/>
    <sheet name="EMV" sheetId="9" r:id="rId7"/>
    <sheet name="Implied Cost of Debt" sheetId="10" r:id="rId8"/>
    <sheet name="Implied Cost of Equity (Gordon)" sheetId="19" r:id="rId9"/>
    <sheet name="Implied Cost of Equity (CAPM)" sheetId="11" r:id="rId10"/>
    <sheet name="WACC" sheetId="12" r:id="rId11"/>
    <sheet name="DCF (CCF)" sheetId="4" r:id="rId12"/>
    <sheet name="DCF (Pro-forma)" sheetId="3" r:id="rId13"/>
    <sheet name="Long Term GR " sheetId="17" r:id="rId14"/>
    <sheet name="Recommendation " sheetId="18" r:id="rId15"/>
  </sheets>
  <externalReferences>
    <externalReference r:id="rId16"/>
  </externalReferences>
  <definedNames>
    <definedName name="Measures">'[1]Scorecard Data'!$B$3:$B$132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18" l="1"/>
  <c r="F14" i="18"/>
  <c r="F40" i="4"/>
  <c r="B39" i="4"/>
  <c r="H4" i="18" s="1"/>
  <c r="C39" i="4"/>
  <c r="I4" i="18" s="1"/>
  <c r="E4" i="18"/>
  <c r="F4" i="18"/>
  <c r="H19" i="3"/>
  <c r="H23" i="3"/>
  <c r="H20" i="3"/>
  <c r="H24" i="3"/>
  <c r="C97" i="3" s="1"/>
  <c r="H5" i="3"/>
  <c r="F114" i="3"/>
  <c r="F111" i="3"/>
  <c r="B112" i="3"/>
  <c r="C112" i="3"/>
  <c r="C21" i="3"/>
  <c r="C81" i="3"/>
  <c r="C62" i="3"/>
  <c r="C63" i="3" s="1"/>
  <c r="C46" i="3"/>
  <c r="B37" i="3"/>
  <c r="H22" i="3"/>
  <c r="H13" i="3" l="1"/>
  <c r="D13" i="3"/>
  <c r="E13" i="3"/>
  <c r="F13" i="3"/>
  <c r="G13" i="3"/>
  <c r="C13" i="3"/>
  <c r="C61" i="3"/>
  <c r="B61" i="3"/>
  <c r="D12" i="3" l="1"/>
  <c r="E12" i="3"/>
  <c r="F12" i="3"/>
  <c r="G12" i="3"/>
  <c r="C12" i="3"/>
  <c r="H12" i="3" s="1"/>
  <c r="C82" i="3"/>
  <c r="C80" i="3"/>
  <c r="C83" i="3" s="1"/>
  <c r="C76" i="3"/>
  <c r="C75" i="3"/>
  <c r="C69" i="3"/>
  <c r="C68" i="3"/>
  <c r="C67" i="3"/>
  <c r="C66" i="3"/>
  <c r="C60" i="3"/>
  <c r="B60" i="3"/>
  <c r="C44" i="3"/>
  <c r="C45" i="3"/>
  <c r="C51" i="3"/>
  <c r="C48" i="3"/>
  <c r="C77" i="3" l="1"/>
  <c r="C85" i="3" s="1"/>
  <c r="C70" i="3"/>
  <c r="C38" i="3"/>
  <c r="C37" i="3"/>
  <c r="C41" i="3"/>
  <c r="C39" i="3" l="1"/>
  <c r="C42" i="3" s="1"/>
  <c r="D8" i="3"/>
  <c r="E8" i="3"/>
  <c r="F8" i="3"/>
  <c r="G8" i="3"/>
  <c r="C8" i="3"/>
  <c r="E26" i="3"/>
  <c r="F26" i="3"/>
  <c r="G26" i="3"/>
  <c r="D26" i="3"/>
  <c r="D25" i="3"/>
  <c r="E25" i="3"/>
  <c r="F25" i="3"/>
  <c r="G25" i="3"/>
  <c r="C25" i="3"/>
  <c r="D24" i="3"/>
  <c r="E24" i="3"/>
  <c r="F24" i="3"/>
  <c r="G24" i="3"/>
  <c r="C24" i="3"/>
  <c r="D23" i="3"/>
  <c r="E23" i="3"/>
  <c r="F23" i="3"/>
  <c r="G23" i="3"/>
  <c r="C23" i="3"/>
  <c r="D19" i="3"/>
  <c r="E19" i="3"/>
  <c r="F19" i="3"/>
  <c r="G19" i="3"/>
  <c r="C19" i="3"/>
  <c r="D22" i="3"/>
  <c r="E22" i="3"/>
  <c r="F22" i="3"/>
  <c r="G22" i="3"/>
  <c r="C22" i="3"/>
  <c r="D21" i="3"/>
  <c r="E21" i="3"/>
  <c r="F21" i="3"/>
  <c r="G21" i="3"/>
  <c r="D20" i="3"/>
  <c r="E20" i="3"/>
  <c r="F20" i="3"/>
  <c r="G20" i="3"/>
  <c r="C20" i="3"/>
  <c r="D18" i="3"/>
  <c r="E18" i="3"/>
  <c r="F18" i="3"/>
  <c r="G18" i="3"/>
  <c r="C18" i="3"/>
  <c r="E17" i="3"/>
  <c r="F17" i="3"/>
  <c r="G17" i="3"/>
  <c r="D17" i="3"/>
  <c r="D16" i="3"/>
  <c r="E16" i="3"/>
  <c r="F16" i="3"/>
  <c r="G16" i="3"/>
  <c r="C16" i="3"/>
  <c r="D15" i="3"/>
  <c r="E15" i="3"/>
  <c r="F15" i="3"/>
  <c r="G15" i="3"/>
  <c r="C15" i="3"/>
  <c r="E14" i="3"/>
  <c r="F14" i="3"/>
  <c r="G14" i="3"/>
  <c r="D14" i="3"/>
  <c r="E11" i="3"/>
  <c r="F11" i="3"/>
  <c r="G11" i="3"/>
  <c r="D11" i="3"/>
  <c r="E10" i="3"/>
  <c r="F10" i="3"/>
  <c r="G10" i="3"/>
  <c r="D10" i="3"/>
  <c r="E9" i="3"/>
  <c r="F9" i="3"/>
  <c r="G9" i="3"/>
  <c r="D9" i="3"/>
  <c r="H10" i="3" l="1"/>
  <c r="D66" i="3" s="1"/>
  <c r="E66" i="3" s="1"/>
  <c r="F66" i="3" s="1"/>
  <c r="G66" i="3" s="1"/>
  <c r="H26" i="3"/>
  <c r="H11" i="3"/>
  <c r="D67" i="3" s="1"/>
  <c r="E67" i="3" s="1"/>
  <c r="F67" i="3" s="1"/>
  <c r="G67" i="3" s="1"/>
  <c r="H9" i="3"/>
  <c r="D60" i="3" s="1"/>
  <c r="E60" i="3" l="1"/>
  <c r="G6" i="3"/>
  <c r="F6" i="3"/>
  <c r="E6" i="3"/>
  <c r="G7" i="3"/>
  <c r="F7" i="3"/>
  <c r="E7" i="3"/>
  <c r="D6" i="3"/>
  <c r="D7" i="3"/>
  <c r="G5" i="3"/>
  <c r="F5" i="3"/>
  <c r="E5" i="3"/>
  <c r="D5" i="3"/>
  <c r="H6" i="3" l="1"/>
  <c r="F60" i="3"/>
  <c r="H7" i="3"/>
  <c r="D37" i="3"/>
  <c r="D48" i="3" s="1"/>
  <c r="H17" i="3"/>
  <c r="D81" i="3" s="1"/>
  <c r="H18" i="3"/>
  <c r="H15" i="3"/>
  <c r="H14" i="3"/>
  <c r="D68" i="3" s="1"/>
  <c r="E68" i="3" s="1"/>
  <c r="F68" i="3" s="1"/>
  <c r="G68" i="3" s="1"/>
  <c r="H25" i="3"/>
  <c r="H16" i="3"/>
  <c r="H8" i="3"/>
  <c r="H21" i="3"/>
  <c r="C72" i="3"/>
  <c r="D75" i="3"/>
  <c r="E81" i="3" l="1"/>
  <c r="D45" i="3"/>
  <c r="D82" i="3"/>
  <c r="G60" i="3"/>
  <c r="D70" i="3"/>
  <c r="D41" i="3"/>
  <c r="E37" i="3"/>
  <c r="D38" i="3"/>
  <c r="D39" i="3" s="1"/>
  <c r="C49" i="3"/>
  <c r="C93" i="3"/>
  <c r="E75" i="3"/>
  <c r="E70" i="3"/>
  <c r="D42" i="3" l="1"/>
  <c r="F81" i="3"/>
  <c r="E45" i="3"/>
  <c r="D97" i="3" s="1"/>
  <c r="E82" i="3"/>
  <c r="E48" i="3"/>
  <c r="F37" i="3"/>
  <c r="E41" i="3"/>
  <c r="E38" i="3"/>
  <c r="E39" i="3" s="1"/>
  <c r="C52" i="3"/>
  <c r="D93" i="3"/>
  <c r="C94" i="3"/>
  <c r="F75" i="3"/>
  <c r="F70" i="3"/>
  <c r="G81" i="3" l="1"/>
  <c r="G45" i="3" s="1"/>
  <c r="F97" i="3" s="1"/>
  <c r="F45" i="3"/>
  <c r="E97" i="3" s="1"/>
  <c r="F82" i="3"/>
  <c r="F48" i="3"/>
  <c r="E42" i="3"/>
  <c r="G37" i="3"/>
  <c r="G41" i="3" s="1"/>
  <c r="F41" i="3"/>
  <c r="F38" i="3"/>
  <c r="F39" i="3" s="1"/>
  <c r="E93" i="3"/>
  <c r="D94" i="3"/>
  <c r="G70" i="3"/>
  <c r="G75" i="3"/>
  <c r="G82" i="3" l="1"/>
  <c r="G48" i="3"/>
  <c r="G38" i="3"/>
  <c r="G39" i="3" s="1"/>
  <c r="G42" i="3" s="1"/>
  <c r="F42" i="3"/>
  <c r="F93" i="3"/>
  <c r="E94" i="3"/>
  <c r="F94" i="3" l="1"/>
  <c r="C111" i="3" l="1" a="1"/>
  <c r="D33" i="4" l="1"/>
  <c r="C33" i="4"/>
  <c r="C29" i="4" l="1"/>
  <c r="E27" i="4"/>
  <c r="F27" i="4"/>
  <c r="G27" i="4"/>
  <c r="D27" i="4"/>
  <c r="G23" i="4"/>
  <c r="G25" i="4" s="1"/>
  <c r="F23" i="4"/>
  <c r="F25" i="4" s="1"/>
  <c r="E23" i="4"/>
  <c r="E25" i="4" s="1"/>
  <c r="D23" i="4"/>
  <c r="D25" i="4" s="1"/>
  <c r="C23" i="4"/>
  <c r="C25" i="4" s="1"/>
  <c r="C17" i="4"/>
  <c r="C20" i="4" s="1"/>
  <c r="D17" i="4"/>
  <c r="E17" i="4"/>
  <c r="F17" i="4"/>
  <c r="G17" i="4"/>
  <c r="C18" i="4"/>
  <c r="D18" i="4"/>
  <c r="E18" i="4"/>
  <c r="F18" i="4"/>
  <c r="G18" i="4"/>
  <c r="B18" i="4"/>
  <c r="B17" i="4"/>
  <c r="D6" i="4"/>
  <c r="E6" i="4"/>
  <c r="F6" i="4"/>
  <c r="G6" i="4"/>
  <c r="D7" i="4"/>
  <c r="E7" i="4"/>
  <c r="F7" i="4"/>
  <c r="G7" i="4"/>
  <c r="D8" i="4"/>
  <c r="E8" i="4"/>
  <c r="F8" i="4"/>
  <c r="G8" i="4"/>
  <c r="D9" i="4"/>
  <c r="E9" i="4"/>
  <c r="F9" i="4"/>
  <c r="G9" i="4"/>
  <c r="D10" i="4"/>
  <c r="E10" i="4"/>
  <c r="F10" i="4"/>
  <c r="G10" i="4"/>
  <c r="D11" i="4"/>
  <c r="E11" i="4"/>
  <c r="F11" i="4"/>
  <c r="G11" i="4"/>
  <c r="D12" i="4"/>
  <c r="E12" i="4"/>
  <c r="F12" i="4"/>
  <c r="G12" i="4"/>
  <c r="C7" i="4"/>
  <c r="C8" i="4"/>
  <c r="C9" i="4"/>
  <c r="C10" i="4"/>
  <c r="C11" i="4"/>
  <c r="C12" i="4"/>
  <c r="C6" i="4"/>
  <c r="B8" i="4"/>
  <c r="B9" i="4"/>
  <c r="B10" i="4"/>
  <c r="B11" i="4"/>
  <c r="B12" i="4"/>
  <c r="B7" i="4"/>
  <c r="B6" i="4"/>
  <c r="G5" i="4"/>
  <c r="F5" i="4"/>
  <c r="E5" i="4"/>
  <c r="D5" i="4"/>
  <c r="C5" i="4"/>
  <c r="E20" i="4" l="1"/>
  <c r="F20" i="4"/>
  <c r="G20" i="4"/>
  <c r="D20" i="4"/>
  <c r="D14" i="4"/>
  <c r="C14" i="4"/>
  <c r="C26" i="4" s="1"/>
  <c r="F14" i="4"/>
  <c r="E14" i="4"/>
  <c r="E26" i="4" s="1"/>
  <c r="G14" i="4"/>
  <c r="D26" i="4" l="1"/>
  <c r="G26" i="4"/>
  <c r="F26" i="4"/>
  <c r="F10" i="11" l="1"/>
  <c r="C22" i="12"/>
  <c r="D17" i="12"/>
  <c r="C16" i="12"/>
  <c r="D15" i="12"/>
  <c r="E15" i="12"/>
  <c r="F15" i="12"/>
  <c r="C15" i="12"/>
  <c r="D14" i="12"/>
  <c r="E14" i="12"/>
  <c r="F14" i="12"/>
  <c r="C14" i="12"/>
  <c r="C8" i="12"/>
  <c r="C7" i="12"/>
  <c r="C4" i="12"/>
  <c r="C3" i="12"/>
  <c r="C8" i="11"/>
  <c r="L137" i="11"/>
  <c r="H137" i="11"/>
  <c r="D137" i="11"/>
  <c r="D46" i="11"/>
  <c r="D43" i="11"/>
  <c r="F34" i="19" l="1"/>
  <c r="F33" i="19"/>
  <c r="H29" i="19"/>
  <c r="H28" i="19"/>
  <c r="H27" i="19"/>
  <c r="G27" i="19"/>
  <c r="E29" i="19"/>
  <c r="E28" i="19"/>
  <c r="H11" i="19"/>
  <c r="G11" i="19"/>
  <c r="F11" i="19"/>
  <c r="E11" i="19"/>
  <c r="D11" i="19"/>
  <c r="E6" i="19"/>
  <c r="F6" i="19"/>
  <c r="G6" i="19"/>
  <c r="H6" i="19"/>
  <c r="D6" i="19"/>
  <c r="D18" i="19"/>
  <c r="G15" i="19"/>
  <c r="H15" i="19"/>
  <c r="F15" i="19"/>
  <c r="E15" i="19"/>
  <c r="E12" i="19"/>
  <c r="F12" i="19"/>
  <c r="G12" i="19"/>
  <c r="H12" i="19"/>
  <c r="D12" i="19"/>
  <c r="E8" i="19"/>
  <c r="F8" i="19"/>
  <c r="G8" i="19"/>
  <c r="H8" i="19"/>
  <c r="D8" i="19"/>
  <c r="H7" i="19"/>
  <c r="E18" i="10"/>
  <c r="F28" i="10" l="1"/>
  <c r="F26" i="10"/>
  <c r="G26" i="10"/>
  <c r="H26" i="10"/>
  <c r="E26" i="10"/>
  <c r="F18" i="10"/>
  <c r="G18" i="10"/>
  <c r="H18" i="10"/>
  <c r="E25" i="10"/>
  <c r="F25" i="10"/>
  <c r="G25" i="10"/>
  <c r="H25" i="10"/>
  <c r="D25" i="10"/>
  <c r="E24" i="10"/>
  <c r="F24" i="10"/>
  <c r="G24" i="10"/>
  <c r="H24" i="10"/>
  <c r="D24" i="10"/>
  <c r="F20" i="10" l="1"/>
  <c r="E16" i="10" l="1"/>
  <c r="E17" i="10"/>
  <c r="D17" i="10"/>
  <c r="F17" i="10"/>
  <c r="G17" i="10"/>
  <c r="H17" i="10"/>
  <c r="F16" i="10"/>
  <c r="G16" i="10"/>
  <c r="H16" i="10"/>
  <c r="D16" i="10"/>
  <c r="E11" i="10"/>
  <c r="F11" i="10"/>
  <c r="G11" i="10"/>
  <c r="H11" i="10"/>
  <c r="D11" i="10"/>
  <c r="E9" i="10"/>
  <c r="F9" i="10"/>
  <c r="G9" i="10"/>
  <c r="H9" i="10"/>
  <c r="D9" i="10"/>
  <c r="E10" i="10"/>
  <c r="F10" i="10"/>
  <c r="G10" i="10"/>
  <c r="H10" i="10"/>
  <c r="D10" i="10"/>
  <c r="H8" i="10"/>
  <c r="G8" i="10"/>
  <c r="F8" i="10"/>
  <c r="E8" i="10"/>
  <c r="D8" i="10"/>
  <c r="E7" i="10"/>
  <c r="F7" i="10"/>
  <c r="G7" i="10"/>
  <c r="H7" i="10"/>
  <c r="D7" i="10"/>
  <c r="F21" i="9" l="1"/>
  <c r="C21" i="9"/>
  <c r="C17" i="9"/>
  <c r="F10" i="9"/>
  <c r="F8" i="9"/>
  <c r="C16" i="9"/>
  <c r="F6" i="9"/>
  <c r="C6" i="9"/>
  <c r="C59" i="8"/>
  <c r="C57" i="8"/>
  <c r="F45" i="8"/>
  <c r="F43" i="8"/>
  <c r="C49" i="8"/>
  <c r="C47" i="8"/>
  <c r="C45" i="8"/>
  <c r="C43" i="8"/>
  <c r="J44" i="8"/>
  <c r="J43" i="8"/>
  <c r="J41" i="8"/>
  <c r="J42" i="8"/>
  <c r="J38" i="8"/>
  <c r="J40" i="8"/>
  <c r="J39" i="8"/>
  <c r="J37" i="8"/>
  <c r="F22" i="8"/>
  <c r="F23" i="8"/>
  <c r="F24" i="8"/>
  <c r="F21" i="8"/>
  <c r="F25" i="8" s="1"/>
  <c r="E22" i="8"/>
  <c r="E23" i="8"/>
  <c r="E24" i="8"/>
  <c r="E21" i="8"/>
  <c r="F17" i="8"/>
  <c r="F18" i="8" s="1"/>
  <c r="E17" i="8"/>
  <c r="F7" i="8"/>
  <c r="F8" i="8"/>
  <c r="F9" i="8"/>
  <c r="F10" i="8"/>
  <c r="F11" i="8"/>
  <c r="F12" i="8"/>
  <c r="F13" i="8"/>
  <c r="F6" i="8"/>
  <c r="E7" i="8"/>
  <c r="E8" i="8"/>
  <c r="E9" i="8"/>
  <c r="E10" i="8"/>
  <c r="E11" i="8"/>
  <c r="E12" i="8"/>
  <c r="E13" i="8"/>
  <c r="E6" i="8"/>
  <c r="C16" i="8"/>
  <c r="C17" i="8"/>
  <c r="C18" i="8"/>
  <c r="C19" i="8"/>
  <c r="C15" i="8"/>
  <c r="B16" i="8"/>
  <c r="B17" i="8"/>
  <c r="B18" i="8"/>
  <c r="B19" i="8"/>
  <c r="B15" i="8"/>
  <c r="C8" i="8"/>
  <c r="C9" i="8"/>
  <c r="C10" i="8"/>
  <c r="C11" i="8"/>
  <c r="C7" i="8"/>
  <c r="B8" i="8"/>
  <c r="B9" i="8"/>
  <c r="B10" i="8"/>
  <c r="B11" i="8"/>
  <c r="B7" i="8"/>
  <c r="F33" i="8" l="1"/>
  <c r="C12" i="8"/>
  <c r="C35" i="8" s="1"/>
  <c r="C20" i="8"/>
  <c r="F14" i="8"/>
  <c r="F35" i="8" l="1"/>
  <c r="D25" i="16" l="1"/>
  <c r="E25" i="16"/>
  <c r="F25" i="16"/>
  <c r="D22" i="16"/>
  <c r="E22" i="16"/>
  <c r="F22" i="16"/>
  <c r="C22" i="16"/>
  <c r="C25" i="16"/>
  <c r="C29" i="16"/>
  <c r="D29" i="16"/>
  <c r="E29" i="16"/>
  <c r="F29" i="16"/>
  <c r="B29" i="16"/>
  <c r="C28" i="16"/>
  <c r="D28" i="16"/>
  <c r="E28" i="16"/>
  <c r="F28" i="16"/>
  <c r="B28" i="16"/>
  <c r="D21" i="16"/>
  <c r="E21" i="16"/>
  <c r="F21" i="16"/>
  <c r="C21" i="16"/>
  <c r="D20" i="16"/>
  <c r="E20" i="16"/>
  <c r="F20" i="16"/>
  <c r="C20" i="16"/>
  <c r="D19" i="16"/>
  <c r="E19" i="16"/>
  <c r="F19" i="16"/>
  <c r="C19" i="16"/>
  <c r="D18" i="16"/>
  <c r="E18" i="16"/>
  <c r="F18" i="16"/>
  <c r="C18" i="16"/>
  <c r="D32" i="2"/>
  <c r="E32" i="2"/>
  <c r="F32" i="2"/>
  <c r="D40" i="6"/>
  <c r="E40" i="6"/>
  <c r="F40" i="6"/>
  <c r="D36" i="6"/>
  <c r="E36" i="6"/>
  <c r="F36" i="6"/>
  <c r="E11" i="16" l="1"/>
  <c r="F11" i="16"/>
  <c r="C7" i="16"/>
  <c r="E7" i="16"/>
  <c r="F7" i="16"/>
  <c r="B7" i="16"/>
  <c r="E5" i="16"/>
  <c r="F5" i="16"/>
  <c r="C5" i="16"/>
  <c r="B5" i="16"/>
  <c r="C6" i="16"/>
  <c r="E6" i="16"/>
  <c r="F6" i="16"/>
  <c r="B6" i="16"/>
  <c r="F32" i="5" l="1"/>
  <c r="E32" i="5"/>
  <c r="D32" i="5" l="1"/>
  <c r="D38" i="5"/>
  <c r="E38" i="5"/>
  <c r="F38" i="5"/>
  <c r="C38" i="5"/>
  <c r="B38" i="5"/>
  <c r="C32" i="5"/>
  <c r="B32" i="5"/>
  <c r="C19" i="5"/>
  <c r="D19" i="5"/>
  <c r="E19" i="5"/>
  <c r="F19" i="5"/>
  <c r="B19" i="5"/>
  <c r="C10" i="5"/>
  <c r="C20" i="5" s="1"/>
  <c r="D10" i="5"/>
  <c r="E10" i="5"/>
  <c r="F10" i="5"/>
  <c r="B10" i="5"/>
  <c r="F24" i="6"/>
  <c r="F25" i="6"/>
  <c r="F7" i="6"/>
  <c r="F9" i="6" s="1"/>
  <c r="E31" i="6"/>
  <c r="E24" i="6"/>
  <c r="E7" i="6"/>
  <c r="E9" i="6" s="1"/>
  <c r="E14" i="6" s="1"/>
  <c r="E17" i="6" s="1"/>
  <c r="E19" i="6" s="1"/>
  <c r="E25" i="6" s="1"/>
  <c r="E27" i="6" s="1"/>
  <c r="C36" i="6"/>
  <c r="B36" i="6"/>
  <c r="C24" i="6"/>
  <c r="D24" i="6"/>
  <c r="B24" i="6"/>
  <c r="D7" i="6"/>
  <c r="D9" i="6" s="1"/>
  <c r="C7" i="6"/>
  <c r="C9" i="6" s="1"/>
  <c r="C14" i="6" s="1"/>
  <c r="C17" i="6" s="1"/>
  <c r="C19" i="6" s="1"/>
  <c r="C25" i="6" s="1"/>
  <c r="C27" i="6" s="1"/>
  <c r="C31" i="6" s="1"/>
  <c r="B7" i="6"/>
  <c r="B9" i="6" s="1"/>
  <c r="B14" i="6" s="1"/>
  <c r="B17" i="6" s="1"/>
  <c r="B19" i="6" s="1"/>
  <c r="B25" i="6" s="1"/>
  <c r="B27" i="6" s="1"/>
  <c r="B31" i="6" s="1"/>
  <c r="F11" i="2"/>
  <c r="B32" i="2"/>
  <c r="B11" i="16" s="1"/>
  <c r="D43" i="2"/>
  <c r="D15" i="16" s="1"/>
  <c r="E43" i="2"/>
  <c r="E15" i="16" s="1"/>
  <c r="F43" i="2"/>
  <c r="F15" i="16" s="1"/>
  <c r="C43" i="2"/>
  <c r="C15" i="16" s="1"/>
  <c r="B43" i="2"/>
  <c r="B15" i="16" s="1"/>
  <c r="C36" i="2"/>
  <c r="D36" i="2"/>
  <c r="E36" i="2"/>
  <c r="F36" i="2"/>
  <c r="B36" i="2"/>
  <c r="C32" i="2"/>
  <c r="C11" i="16" s="1"/>
  <c r="C19" i="2"/>
  <c r="D19" i="2"/>
  <c r="E19" i="2"/>
  <c r="F19" i="2"/>
  <c r="B19" i="2"/>
  <c r="D11" i="2"/>
  <c r="E11" i="2"/>
  <c r="C11" i="2"/>
  <c r="C21" i="2" s="1"/>
  <c r="C10" i="16" s="1"/>
  <c r="B11" i="2"/>
  <c r="D14" i="6" l="1"/>
  <c r="D5" i="16"/>
  <c r="F20" i="5"/>
  <c r="B20" i="5"/>
  <c r="B40" i="5" s="1"/>
  <c r="B43" i="5" s="1"/>
  <c r="E20" i="5"/>
  <c r="D20" i="5"/>
  <c r="F14" i="6"/>
  <c r="F17" i="6" s="1"/>
  <c r="F19" i="6" s="1"/>
  <c r="F27" i="6" s="1"/>
  <c r="F31" i="6" s="1"/>
  <c r="E45" i="2"/>
  <c r="E14" i="16" s="1"/>
  <c r="B45" i="2"/>
  <c r="B47" i="2" s="1"/>
  <c r="F45" i="2"/>
  <c r="F47" i="2" s="1"/>
  <c r="B21" i="2"/>
  <c r="B10" i="16" s="1"/>
  <c r="E21" i="2"/>
  <c r="E10" i="16" s="1"/>
  <c r="D45" i="2"/>
  <c r="D14" i="16" s="1"/>
  <c r="D21" i="2"/>
  <c r="C45" i="2"/>
  <c r="C47" i="2" s="1"/>
  <c r="F21" i="2"/>
  <c r="F10" i="16" s="1"/>
  <c r="F40" i="5"/>
  <c r="B14" i="16" l="1"/>
  <c r="C14" i="16"/>
  <c r="F14" i="16"/>
  <c r="D17" i="6"/>
  <c r="D19" i="6" s="1"/>
  <c r="D6" i="16"/>
  <c r="E40" i="5"/>
  <c r="D25" i="6" l="1"/>
  <c r="D27" i="6" s="1"/>
  <c r="D31" i="6" s="1"/>
  <c r="D7" i="16"/>
  <c r="D10" i="16" l="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43" i="11"/>
  <c r="H44" i="11"/>
  <c r="H45" i="11"/>
  <c r="H46" i="11"/>
  <c r="H47" i="11"/>
  <c r="H48" i="11"/>
  <c r="H49" i="11"/>
  <c r="H50" i="11"/>
  <c r="H51" i="11"/>
  <c r="H52" i="11"/>
  <c r="H53" i="11"/>
  <c r="H54" i="11"/>
  <c r="H55" i="11"/>
  <c r="H56" i="11"/>
  <c r="H57" i="11"/>
  <c r="H58" i="11"/>
  <c r="H59" i="11"/>
  <c r="H60" i="11"/>
  <c r="H61" i="11"/>
  <c r="H62" i="11"/>
  <c r="Q43" i="11" s="1"/>
  <c r="H63" i="11"/>
  <c r="H64" i="11"/>
  <c r="H65" i="11"/>
  <c r="H66" i="11"/>
  <c r="H67" i="11"/>
  <c r="H68" i="11"/>
  <c r="H69" i="11"/>
  <c r="H70" i="11"/>
  <c r="H71" i="11"/>
  <c r="H72" i="11"/>
  <c r="H73" i="11"/>
  <c r="H74" i="11"/>
  <c r="H75" i="11"/>
  <c r="H76" i="11"/>
  <c r="H77" i="11"/>
  <c r="H78" i="11"/>
  <c r="H79" i="11"/>
  <c r="H80" i="11"/>
  <c r="H81" i="11"/>
  <c r="H82" i="11"/>
  <c r="H83" i="11"/>
  <c r="H84" i="11"/>
  <c r="H85" i="11"/>
  <c r="H86" i="11"/>
  <c r="O43" i="11" s="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43" i="11"/>
  <c r="D131" i="11"/>
  <c r="D132" i="11"/>
  <c r="D133" i="11"/>
  <c r="D134" i="11"/>
  <c r="D135" i="11"/>
  <c r="D136" i="11"/>
  <c r="D44" i="11"/>
  <c r="D45"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K5" i="11" l="1"/>
  <c r="M5" i="11"/>
  <c r="P43" i="11"/>
  <c r="J5" i="11"/>
  <c r="L5" i="11"/>
  <c r="R43" i="11"/>
  <c r="J12" i="11"/>
  <c r="J11" i="11"/>
  <c r="F8" i="11"/>
  <c r="D36" i="10"/>
  <c r="E13" i="19" l="1"/>
  <c r="F13" i="19"/>
  <c r="G13" i="19"/>
  <c r="H13" i="19"/>
  <c r="D13" i="19"/>
  <c r="E14" i="19" l="1"/>
  <c r="D14" i="19"/>
  <c r="H14" i="19"/>
  <c r="G14" i="19"/>
  <c r="F14" i="19"/>
  <c r="G35" i="16" l="1"/>
  <c r="G34" i="16"/>
  <c r="G33" i="16"/>
  <c r="G32" i="16"/>
  <c r="G31" i="16"/>
  <c r="M6" i="11"/>
  <c r="L6" i="11"/>
  <c r="K6" i="11"/>
  <c r="J6" i="11"/>
  <c r="R44" i="11"/>
  <c r="Q44" i="11"/>
  <c r="P44" i="11"/>
  <c r="O44" i="11"/>
  <c r="Q46" i="11" s="1"/>
  <c r="C40" i="6"/>
  <c r="B40" i="6"/>
  <c r="C40" i="5"/>
  <c r="D11" i="16"/>
  <c r="L8" i="11" l="1"/>
  <c r="G35" i="19"/>
  <c r="E47" i="2"/>
  <c r="D47" i="2"/>
  <c r="C5" i="12"/>
  <c r="F9" i="11"/>
  <c r="C43" i="5"/>
  <c r="D43" i="5" s="1"/>
  <c r="E41" i="5" s="1"/>
  <c r="E43" i="5" s="1"/>
  <c r="F41" i="5" s="1"/>
  <c r="F43" i="5" s="1"/>
  <c r="C9" i="12" l="1"/>
  <c r="K4" i="12" s="1"/>
  <c r="C9" i="11"/>
  <c r="C10" i="11" s="1"/>
  <c r="C11" i="11" s="1"/>
  <c r="D16" i="12"/>
  <c r="F16" i="12"/>
  <c r="C15" i="9" l="1"/>
  <c r="E16" i="12"/>
  <c r="C8" i="9"/>
  <c r="C10" i="9" s="1"/>
  <c r="F49" i="8"/>
  <c r="K5" i="12"/>
  <c r="D37" i="10"/>
  <c r="E38" i="10" l="1"/>
  <c r="K7" i="12" s="1"/>
  <c r="F7" i="11" l="1"/>
  <c r="F11" i="11" s="1"/>
  <c r="F12" i="11" s="1"/>
  <c r="E15" i="11" s="1"/>
  <c r="K8" i="12"/>
  <c r="F38" i="4"/>
  <c r="D22" i="12" l="1"/>
  <c r="D24" i="12" s="1"/>
  <c r="K6" i="12" s="1"/>
  <c r="K9" i="12" s="1"/>
  <c r="F41" i="4" l="1"/>
  <c r="F113" i="3"/>
  <c r="C35" i="4"/>
  <c r="F34" i="4" l="1"/>
  <c r="D35" i="4"/>
  <c r="E33" i="4"/>
  <c r="E35" i="4" l="1"/>
  <c r="F33" i="4"/>
  <c r="F35" i="4" l="1"/>
  <c r="C38" i="4" s="1"/>
  <c r="I3" i="18" l="1"/>
  <c r="C40" i="4"/>
  <c r="I5" i="18"/>
  <c r="H11" i="18" s="1"/>
  <c r="D44" i="3"/>
  <c r="E44" i="3"/>
  <c r="F44" i="3"/>
  <c r="G44" i="3"/>
  <c r="D46" i="3"/>
  <c r="E46" i="3"/>
  <c r="F46" i="3"/>
  <c r="G46" i="3"/>
  <c r="D49" i="3"/>
  <c r="E49" i="3"/>
  <c r="F49" i="3"/>
  <c r="G49" i="3"/>
  <c r="D51" i="3"/>
  <c r="E51" i="3"/>
  <c r="F51" i="3"/>
  <c r="G51" i="3"/>
  <c r="D52" i="3"/>
  <c r="E52" i="3"/>
  <c r="F52" i="3"/>
  <c r="G52" i="3"/>
  <c r="D61" i="3"/>
  <c r="E61" i="3"/>
  <c r="F61" i="3"/>
  <c r="G61" i="3"/>
  <c r="D62" i="3"/>
  <c r="E62" i="3"/>
  <c r="F62" i="3"/>
  <c r="G62" i="3"/>
  <c r="D63" i="3"/>
  <c r="E63" i="3"/>
  <c r="F63" i="3"/>
  <c r="G63" i="3"/>
  <c r="D72" i="3"/>
  <c r="E72" i="3"/>
  <c r="F72" i="3"/>
  <c r="G72" i="3"/>
  <c r="D76" i="3"/>
  <c r="E76" i="3"/>
  <c r="F76" i="3"/>
  <c r="G76" i="3"/>
  <c r="D77" i="3"/>
  <c r="E77" i="3"/>
  <c r="F77" i="3"/>
  <c r="G77" i="3"/>
  <c r="D80" i="3"/>
  <c r="E80" i="3"/>
  <c r="F80" i="3"/>
  <c r="G80" i="3"/>
  <c r="D83" i="3"/>
  <c r="E83" i="3"/>
  <c r="F83" i="3"/>
  <c r="G83" i="3"/>
  <c r="D85" i="3"/>
  <c r="E85" i="3"/>
  <c r="F85" i="3"/>
  <c r="G85" i="3"/>
  <c r="C92" i="3"/>
  <c r="D92" i="3"/>
  <c r="E92" i="3"/>
  <c r="F92" i="3"/>
  <c r="C95" i="3"/>
  <c r="D95" i="3"/>
  <c r="E95" i="3"/>
  <c r="F95" i="3"/>
  <c r="C96" i="3"/>
  <c r="D96" i="3"/>
  <c r="E96" i="3"/>
  <c r="F96" i="3"/>
  <c r="C98" i="3"/>
  <c r="D98" i="3"/>
  <c r="E98" i="3"/>
  <c r="F98" i="3"/>
  <c r="C100" i="3"/>
  <c r="D100" i="3"/>
  <c r="E100" i="3"/>
  <c r="F100" i="3"/>
  <c r="C104" i="3"/>
  <c r="D104" i="3"/>
  <c r="E104" i="3"/>
  <c r="F104" i="3"/>
  <c r="F105" i="3"/>
  <c r="C106" i="3"/>
  <c r="D106" i="3"/>
  <c r="E106" i="3"/>
  <c r="F106" i="3"/>
  <c r="C111" i="3"/>
  <c r="C113" i="3"/>
  <c r="F3" i="18"/>
  <c r="F5" i="18"/>
  <c r="H12" i="18"/>
  <c r="H13" i="18"/>
  <c r="H1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39" authorId="0" shapeId="0" xr:uid="{00000000-0006-0000-0500-000001000000}">
      <text>
        <r>
          <rPr>
            <sz val="11"/>
            <color theme="1"/>
            <rFont val="Arial"/>
            <family val="2"/>
          </rPr>
          <t>Trade Payables, which comprises of the Payable to Suppliers and Toll Manufacturing Charges items, is considered to be operational.</t>
        </r>
      </text>
    </comment>
    <comment ref="J42" authorId="0" shapeId="0" xr:uid="{00000000-0006-0000-0500-000002000000}">
      <text>
        <r>
          <rPr>
            <sz val="11"/>
            <color theme="1"/>
            <rFont val="Arial"/>
            <family val="2"/>
          </rPr>
          <t xml:space="preserve">Operating current assets includes the following items:-
I. Inventories
II. Trade and Other Receivables
III. Advance, Deposits and Prepayments - Square Pharma has considered this item as “Good" and recoverable in the normal course of business[Note 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C37" authorId="0" shapeId="0" xr:uid="{00000000-0006-0000-0700-000002000000}">
      <text>
        <r>
          <rPr>
            <sz val="9"/>
            <color indexed="81"/>
            <rFont val="Tahoma"/>
            <family val="2"/>
          </rPr>
          <t xml:space="preserve">The cost of debt, according to the market value of debt, is utilized as opposed to the book value, since the measurement is a little more realistic.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User</author>
    <author/>
  </authors>
  <commentList>
    <comment ref="C7" authorId="0" shapeId="0" xr:uid="{00000000-0006-0000-0900-000001000000}">
      <text>
        <r>
          <rPr>
            <sz val="10"/>
            <color indexed="81"/>
            <rFont val="Tahoma"/>
            <family val="2"/>
          </rPr>
          <t>The Risk Free Rate taken is the Bangladesh Bank issued latest 364 day Treasury Bill's interest rate.</t>
        </r>
        <r>
          <rPr>
            <b/>
            <sz val="10"/>
            <color indexed="81"/>
            <rFont val="Tahoma"/>
            <family val="2"/>
          </rPr>
          <t xml:space="preserve">
</t>
        </r>
      </text>
    </comment>
    <comment ref="K7" authorId="1" shapeId="0" xr:uid="{00000000-0006-0000-0900-000002000000}">
      <text>
        <r>
          <rPr>
            <sz val="11"/>
            <color theme="1"/>
            <rFont val="Arial"/>
            <family val="2"/>
          </rPr>
          <t xml:space="preserve">Among other things, the General Election in 2018 might have had a negative impact on the market. 
</t>
        </r>
      </text>
    </comment>
    <comment ref="L7" authorId="1" shapeId="0" xr:uid="{00000000-0006-0000-0900-000003000000}">
      <text>
        <r>
          <rPr>
            <sz val="11"/>
            <color theme="1"/>
            <rFont val="Arial"/>
            <family val="2"/>
          </rPr>
          <t>2019 was assigned an equally low weight, as the previous year, since it had negative annualized return due to liquidity crunch in banking sector, gloomy macroeconomic outlook, and soaring non-performing loans.</t>
        </r>
      </text>
    </comment>
    <comment ref="M7" authorId="1" shapeId="0" xr:uid="{00000000-0006-0000-0900-000004000000}">
      <text>
        <r>
          <rPr>
            <sz val="11"/>
            <color theme="1"/>
            <rFont val="Arial"/>
            <family val="2"/>
          </rPr>
          <t>The latest year, 2020 is assigned the higher weight because investors have regained confidence and annualized returns are back to normal after the initial nadir at the onset of the pandemic. Moreover, this trend of positive returns is likely to continue post-pandemic.</t>
        </r>
      </text>
    </comment>
    <comment ref="J11" authorId="0" shapeId="0" xr:uid="{00000000-0006-0000-0900-000005000000}">
      <text>
        <r>
          <rPr>
            <sz val="9"/>
            <color indexed="81"/>
            <rFont val="Tahoma"/>
            <family val="2"/>
          </rPr>
          <t xml:space="preserve">Calculated using continuous historical returns of the last 4 years.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5" authorId="0" shapeId="0" xr:uid="{00000000-0006-0000-0A00-000001000000}">
      <text>
        <r>
          <rPr>
            <b/>
            <sz val="9"/>
            <color indexed="81"/>
            <rFont val="Tahoma"/>
            <family val="2"/>
          </rPr>
          <t>i.e. Market Capitalization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6" authorId="0" shapeId="0" xr:uid="{00000000-0006-0000-0B00-000001000000}">
      <text>
        <r>
          <rPr>
            <sz val="9"/>
            <color indexed="81"/>
            <rFont val="Tahoma"/>
            <family val="2"/>
          </rPr>
          <t>Only purchase and sale of Property, Plant, and Equipment have been considered operational.</t>
        </r>
      </text>
    </comment>
    <comment ref="C29" authorId="0" shapeId="0" xr:uid="{00000000-0006-0000-0B00-000002000000}">
      <text>
        <r>
          <rPr>
            <sz val="9"/>
            <color indexed="81"/>
            <rFont val="Tahoma"/>
            <family val="2"/>
          </rPr>
          <t>The FCF growth rate of -15.66% in the most the recent year of 2020 has been given the lowest weight compared to the previous years because of the unprecedented pandemic, a non-recurring event. The second-lowest weight is given to 2018, as in this year, possibly due to the election and other complications, Square Pharma could not perform well. But Sector-wise, 2019 was a good fiscal year for pharmaceuticals companies, and Square Pharma has also done well. Thus, more weight is assigned to 2019's growth.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Mohammad Mustak Absar Khan</author>
  </authors>
  <commentList>
    <comment ref="H4" authorId="0" shapeId="0" xr:uid="{4E2DAE3E-B135-48D7-A84A-9D8195A764B4}">
      <text>
        <r>
          <rPr>
            <sz val="11"/>
            <color theme="1"/>
            <rFont val="Arial"/>
            <family val="2"/>
          </rPr>
          <t>Calculated using weighted average of the last four years, with progressively higher weights assigned in the latter years, except where documented. Also, compared to 2019, slightly lower weights have been given to 2020 due to the extraordinary effects of the Coronavirus pandemic. Percentage of sales method was used wherever deemed appropriate.</t>
        </r>
      </text>
    </comment>
    <comment ref="H5" authorId="0" shapeId="0" xr:uid="{70F2828A-40CE-4E1A-8937-D19B16CA807E}">
      <text>
        <r>
          <rPr>
            <sz val="11"/>
            <color theme="1"/>
            <rFont val="Arial"/>
            <family val="2"/>
          </rPr>
          <t xml:space="preserve">The weight allocated for 2020 was reduced since the COVID-19 pandemic is assumed to be an unprecedented, non-recurring event.
</t>
        </r>
      </text>
    </comment>
    <comment ref="H16" authorId="0" shapeId="0" xr:uid="{8F047C5F-5591-4654-B0AC-85284B80AC10}">
      <text>
        <r>
          <rPr>
            <sz val="11"/>
            <color theme="1"/>
            <rFont val="Arial"/>
            <family val="2"/>
          </rPr>
          <t>Percentage of debt relative to Total Equity.</t>
        </r>
      </text>
    </comment>
    <comment ref="H19" authorId="1" shapeId="0" xr:uid="{C5A35770-99CA-450C-BF3B-FB9D3CE8BACD}">
      <text>
        <r>
          <rPr>
            <sz val="9"/>
            <color indexed="81"/>
            <rFont val="Tahoma"/>
            <family val="2"/>
          </rPr>
          <t xml:space="preserve">It is expected that with the huge amount of Liquid Assets(Specially Cash) Square Pharma would expand its production and will efficiently reduce its cost of goods. Thus, 20% was reduced from the historical weighted average as a </t>
        </r>
        <r>
          <rPr>
            <b/>
            <sz val="9"/>
            <color indexed="81"/>
            <rFont val="Tahoma"/>
            <family val="2"/>
          </rPr>
          <t>Judgement Call.</t>
        </r>
      </text>
    </comment>
    <comment ref="H20" authorId="1" shapeId="0" xr:uid="{68513918-82E3-45C4-AE66-C5FEF3161C93}">
      <text>
        <r>
          <rPr>
            <sz val="9"/>
            <color indexed="81"/>
            <rFont val="Tahoma"/>
            <family val="2"/>
          </rPr>
          <t>As it is expected that the sales of the SQUARE PHARMACEUTICALS LTD. Will increase and it will start production in those countries/areas where the operation cost will be significantly lower. Thus, 35% was reduced from the historical weighted average as a</t>
        </r>
        <r>
          <rPr>
            <b/>
            <sz val="9"/>
            <color indexed="81"/>
            <rFont val="Tahoma"/>
            <family val="2"/>
          </rPr>
          <t xml:space="preserve"> judgement call.</t>
        </r>
        <r>
          <rPr>
            <sz val="9"/>
            <color indexed="81"/>
            <rFont val="Tahoma"/>
            <family val="2"/>
          </rPr>
          <t xml:space="preserve">
</t>
        </r>
      </text>
    </comment>
    <comment ref="H25" authorId="0" shapeId="0" xr:uid="{B33BA855-293F-4F70-96EB-290E44E83561}">
      <text>
        <r>
          <rPr>
            <sz val="11"/>
            <color theme="1"/>
            <rFont val="Arial"/>
            <family val="2"/>
          </rPr>
          <t xml:space="preserve">As SQUARE PHARMACEUTICALS LTD. profits increase over the years, it will comply with investors' expectations by increasing its dividend payout ratio. Accordingly, 10% was added to the historical weighted average as a </t>
        </r>
        <r>
          <rPr>
            <b/>
            <sz val="11"/>
            <color theme="1"/>
            <rFont val="Arial"/>
            <family val="2"/>
          </rPr>
          <t>judgement call.</t>
        </r>
      </text>
    </comment>
    <comment ref="B52" authorId="0" shapeId="0" xr:uid="{31EA507A-FDC3-4B33-A9EE-DC44ECB4AE42}">
      <text>
        <r>
          <rPr>
            <sz val="11"/>
            <color theme="1"/>
            <rFont val="Arial"/>
            <family val="2"/>
          </rPr>
          <t xml:space="preserve">Adjustment for Income attributable to Non-controlling interests have not been broken down, and fair value adjusment on investments have not been made, since these steps only have negligible effect on the forecasted free cash flows. </t>
        </r>
      </text>
    </comment>
    <comment ref="B69" authorId="0" shapeId="0" xr:uid="{F4B234BA-D9E6-4EF4-B139-C0C983FA872D}">
      <text>
        <r>
          <rPr>
            <sz val="11"/>
            <color theme="1"/>
            <rFont val="Arial"/>
            <family val="2"/>
          </rPr>
          <t>Cash and Cash Equivalents has been used as a buffer item to balance the pro-forma statement of financial postion. Also, to fuel its growth and expansion, SQUARE PHARMACEUTICALS LTD. will hold onto more Cash, and other liquid items, in the subsequent years.</t>
        </r>
      </text>
    </comment>
    <comment ref="B76" authorId="0" shapeId="0" xr:uid="{E35F4BA0-D65C-4482-A0AF-90B7E796DC18}">
      <text>
        <r>
          <rPr>
            <sz val="11"/>
            <color theme="1"/>
            <rFont val="Arial"/>
            <family val="2"/>
          </rPr>
          <t>To support its international expansion plans beyond 2033, SQUARE PHARMACEUTICALS LTD. is building up its retained earnings.</t>
        </r>
      </text>
    </comment>
    <comment ref="B81" authorId="0" shapeId="0" xr:uid="{9DF7ABA7-CED5-4F35-8F2E-8BA10D89A82A}">
      <text>
        <r>
          <rPr>
            <sz val="11"/>
            <color theme="1"/>
            <rFont val="Arial"/>
            <family val="2"/>
          </rPr>
          <t>While Debt is incredibly difficult to forecast, it is anticipated that SQUARE PHARMACEUTICALS LTD. will take more loans in the coming years to supplement the enterprise's growth.</t>
        </r>
      </text>
    </comment>
    <comment ref="B93" authorId="0" shapeId="0" xr:uid="{85645B76-572E-4CC0-96FD-9EF18F743BEF}">
      <text>
        <r>
          <rPr>
            <sz val="11"/>
            <color theme="1"/>
            <rFont val="Arial"/>
            <family val="2"/>
          </rPr>
          <t>Depreciation is forecasted by multiplying the implied depreciation rate with the current year's Property, Plant and Equipment item.</t>
        </r>
      </text>
    </comment>
    <comment ref="B96" authorId="0" shapeId="0" xr:uid="{E26B32E0-9D99-487A-A05A-5419635014B8}">
      <text>
        <r>
          <rPr>
            <sz val="11"/>
            <color theme="1"/>
            <rFont val="Arial"/>
            <family val="2"/>
          </rPr>
          <t>All Non-current Asset items are deemed Fixed Assets.</t>
        </r>
      </text>
    </comment>
    <comment ref="B97" authorId="0" shapeId="0" xr:uid="{AC1B021B-E04C-4456-B92F-A1B36DF8824D}">
      <text>
        <r>
          <rPr>
            <sz val="11"/>
            <color theme="1"/>
            <rFont val="Arial"/>
            <family val="2"/>
          </rPr>
          <t>After-tax interest on Finance Costs</t>
        </r>
      </text>
    </comment>
    <comment ref="B98" authorId="0" shapeId="0" xr:uid="{A4CD4B85-C59A-43A9-8936-B9646E54846B}">
      <text>
        <r>
          <rPr>
            <sz val="11"/>
            <color theme="1"/>
            <rFont val="Arial"/>
            <family val="2"/>
          </rPr>
          <t>After-tax interest on Other Income</t>
        </r>
      </text>
    </comment>
  </commentList>
</comments>
</file>

<file path=xl/sharedStrings.xml><?xml version="1.0" encoding="utf-8"?>
<sst xmlns="http://schemas.openxmlformats.org/spreadsheetml/2006/main" count="457" uniqueCount="335">
  <si>
    <t>Consolidated Statement of Financial Position</t>
  </si>
  <si>
    <t>2015-2016</t>
  </si>
  <si>
    <t>2016-2017</t>
  </si>
  <si>
    <t>2017-2018</t>
  </si>
  <si>
    <t>2018-2019</t>
  </si>
  <si>
    <t>2019-2020</t>
  </si>
  <si>
    <t>ASSETS</t>
  </si>
  <si>
    <t>Non-current assets</t>
  </si>
  <si>
    <t>Property, plant and equipment</t>
  </si>
  <si>
    <t>Long term investment</t>
  </si>
  <si>
    <t>Total Non-current Assets</t>
  </si>
  <si>
    <t>Current Assets</t>
  </si>
  <si>
    <t>Inventories</t>
  </si>
  <si>
    <t>Trade and other receivables</t>
  </si>
  <si>
    <t>Advances, deposits and prepayments</t>
  </si>
  <si>
    <t>Cash and cash equivalents</t>
  </si>
  <si>
    <t>Total Current Assets</t>
  </si>
  <si>
    <t>TOTAL ASSETS</t>
  </si>
  <si>
    <t>EQUITY AND LIABILITIES</t>
  </si>
  <si>
    <t xml:space="preserve">Share capital    </t>
  </si>
  <si>
    <t>Retained earnings</t>
  </si>
  <si>
    <t>Non-controlling interests</t>
  </si>
  <si>
    <t>TOTAL EQUITY</t>
  </si>
  <si>
    <t>Non-current Liability</t>
  </si>
  <si>
    <t>Deferred tax liability</t>
  </si>
  <si>
    <t>Total Non-current Liability</t>
  </si>
  <si>
    <t>Current Liability</t>
  </si>
  <si>
    <t>Total Current Liability</t>
  </si>
  <si>
    <t>TOTAL LIABILITY</t>
  </si>
  <si>
    <t>TOTAL EQUITY AND LIABILITY</t>
  </si>
  <si>
    <t>Pro-forma Model</t>
  </si>
  <si>
    <t>Pro-forma Ratios</t>
  </si>
  <si>
    <t>Implied Rates</t>
  </si>
  <si>
    <t>Pro-forma Income statement</t>
  </si>
  <si>
    <t>Cost of Goods sold</t>
  </si>
  <si>
    <t>Gross profit</t>
  </si>
  <si>
    <t>Operating Expenses</t>
  </si>
  <si>
    <t>Operating Profit</t>
  </si>
  <si>
    <t>Other Income</t>
  </si>
  <si>
    <t>Finance Costs</t>
  </si>
  <si>
    <t>Profit before contribution to WPPF</t>
  </si>
  <si>
    <t>Contribution to WPPF</t>
  </si>
  <si>
    <t>Profit before tax</t>
  </si>
  <si>
    <t>Tax Expenses</t>
  </si>
  <si>
    <t>Net profit after tax</t>
  </si>
  <si>
    <t>Tax Rate</t>
  </si>
  <si>
    <t>Dividend Payout Ratio</t>
  </si>
  <si>
    <t>Dividend Growth Rate</t>
  </si>
  <si>
    <t>Pro-forma Balance Sheet</t>
  </si>
  <si>
    <t>Non-Current Assets</t>
  </si>
  <si>
    <t>Depreciation</t>
  </si>
  <si>
    <t xml:space="preserve">Total Current Assets </t>
  </si>
  <si>
    <t>EQUITY</t>
  </si>
  <si>
    <t>Share Capital</t>
  </si>
  <si>
    <t>Retained Earnings</t>
  </si>
  <si>
    <t>Total Shareholders' Equity</t>
  </si>
  <si>
    <t>LIABILITIES</t>
  </si>
  <si>
    <t>Deferred Tax Liability</t>
  </si>
  <si>
    <t>Trade Payables</t>
  </si>
  <si>
    <t>Total Liability</t>
  </si>
  <si>
    <t>TOTAL EQUITY &amp; LIABILITIES</t>
  </si>
  <si>
    <t>Pro-forma Free Cash Flows</t>
  </si>
  <si>
    <t>Profit after tax</t>
  </si>
  <si>
    <t>Add back depreciation</t>
  </si>
  <si>
    <t>Subtract increase in current assets (except Cash &amp; CE)</t>
  </si>
  <si>
    <t>Add back increase in current liabilities (except Debt)</t>
  </si>
  <si>
    <t>Subtract increase in fixed assets at cost</t>
  </si>
  <si>
    <t>Add back after-tax interest on debt</t>
  </si>
  <si>
    <t>Subtract after-tax interest on cash and marketable securities</t>
  </si>
  <si>
    <t>Free Cash Flow</t>
  </si>
  <si>
    <t>Implied Tax Rate</t>
  </si>
  <si>
    <t>Terminal Cash Flow</t>
  </si>
  <si>
    <t>Long term Growth Rate</t>
  </si>
  <si>
    <t>Total Cash Flow</t>
  </si>
  <si>
    <t>WACC</t>
  </si>
  <si>
    <t>Number of shares</t>
  </si>
  <si>
    <t>Enterprise Value</t>
  </si>
  <si>
    <t>EV per share</t>
  </si>
  <si>
    <t xml:space="preserve"> </t>
  </si>
  <si>
    <t>CONSOLIDATED CASH FLOW</t>
  </si>
  <si>
    <t>2015-16</t>
  </si>
  <si>
    <t>2016-17</t>
  </si>
  <si>
    <t>2017-18</t>
  </si>
  <si>
    <t>2018-19</t>
  </si>
  <si>
    <t>2019-20</t>
  </si>
  <si>
    <t>Cash flows from operating activities</t>
  </si>
  <si>
    <t>Collection from customers and other income</t>
  </si>
  <si>
    <t>Net cash generated from operating activities</t>
  </si>
  <si>
    <t>Cash flows from investing activities</t>
  </si>
  <si>
    <t>Net cash used in investing activities</t>
  </si>
  <si>
    <t>After tax interest</t>
  </si>
  <si>
    <t>FCF</t>
  </si>
  <si>
    <t>Short term growth</t>
  </si>
  <si>
    <t>Weights</t>
  </si>
  <si>
    <t>Short-term growth rate</t>
  </si>
  <si>
    <t>Long-term FCF growth rate</t>
  </si>
  <si>
    <t>Terminal Value</t>
  </si>
  <si>
    <t>Total</t>
  </si>
  <si>
    <t>Enterprise Value per share</t>
  </si>
  <si>
    <t>Consolidated Statement of Cash Flows</t>
  </si>
  <si>
    <t>Cash flows from financing activities</t>
  </si>
  <si>
    <t>Net cash used in financing activities</t>
  </si>
  <si>
    <t>CASH AND CASH EQUIVALENTS AT THE END OF THE YEAR</t>
  </si>
  <si>
    <t>Consolidated Statement of Profit or Loss and Other Comprehensive Income</t>
  </si>
  <si>
    <t>Cost of sales</t>
  </si>
  <si>
    <t>Aministrative expenses</t>
  </si>
  <si>
    <t>Profit before contribution to workers participantion fund</t>
  </si>
  <si>
    <t>Tax expenses</t>
  </si>
  <si>
    <t xml:space="preserve">Net profit after tax </t>
  </si>
  <si>
    <t>RELATIVE VALUATION</t>
  </si>
  <si>
    <t>Margins</t>
  </si>
  <si>
    <t>Gross Margin</t>
  </si>
  <si>
    <t>Operating Margin</t>
  </si>
  <si>
    <t>EBT Margin</t>
  </si>
  <si>
    <t>Management Effectiveness</t>
  </si>
  <si>
    <t>Return on Assets</t>
  </si>
  <si>
    <t>Return on Equity</t>
  </si>
  <si>
    <t xml:space="preserve">Liquidity Ratios </t>
  </si>
  <si>
    <t>Quick Ratio</t>
  </si>
  <si>
    <t>Cash Ratio</t>
  </si>
  <si>
    <t>Growth</t>
  </si>
  <si>
    <t>Net Income Growth</t>
  </si>
  <si>
    <t>Revenue Growth</t>
  </si>
  <si>
    <t>EPS Growth</t>
  </si>
  <si>
    <t>Dividend Growth</t>
  </si>
  <si>
    <t>Cash Flow</t>
  </si>
  <si>
    <t>Operating Cash Flow Growth</t>
  </si>
  <si>
    <t>Dividends</t>
  </si>
  <si>
    <t xml:space="preserve">Dividends Paid </t>
  </si>
  <si>
    <t>Dividend Payout Rate</t>
  </si>
  <si>
    <t>For the year ended 30 June 2020</t>
  </si>
  <si>
    <t>EQUITY &amp; LIABILITIES</t>
  </si>
  <si>
    <t>Total Non-current assets</t>
  </si>
  <si>
    <t>Non-current liability</t>
  </si>
  <si>
    <t>Total current assets</t>
  </si>
  <si>
    <t>Total Non-current liability</t>
  </si>
  <si>
    <t>Current liability</t>
  </si>
  <si>
    <t xml:space="preserve">Total Liability </t>
  </si>
  <si>
    <t>Calculations for EBV</t>
  </si>
  <si>
    <t>ENTERPRISE BOOK VALUE</t>
  </si>
  <si>
    <t>Step 1</t>
  </si>
  <si>
    <t>Cash &amp; Cash Equivalents</t>
  </si>
  <si>
    <t>JUNE 30 2020</t>
  </si>
  <si>
    <t>Step 2</t>
  </si>
  <si>
    <t>BDT</t>
  </si>
  <si>
    <t>Other Payables</t>
  </si>
  <si>
    <t>Net Working Capital</t>
  </si>
  <si>
    <t>Total Equity</t>
  </si>
  <si>
    <t>Step 3</t>
  </si>
  <si>
    <t>Current Operating Assets</t>
  </si>
  <si>
    <t>Non-Operating Current Assets</t>
  </si>
  <si>
    <t xml:space="preserve">Net Financial Debt </t>
  </si>
  <si>
    <t>Step 4</t>
  </si>
  <si>
    <t xml:space="preserve">Total Financial Debt </t>
  </si>
  <si>
    <t>Step 5</t>
  </si>
  <si>
    <t xml:space="preserve">Enterprise Book Value </t>
  </si>
  <si>
    <t>Enterprise Book Value</t>
  </si>
  <si>
    <t>Number of Ordinary Shares</t>
  </si>
  <si>
    <t>EBV per share</t>
  </si>
  <si>
    <t>ENTERPRISE MARKET VALUE</t>
  </si>
  <si>
    <t xml:space="preserve">Net Working Capital </t>
  </si>
  <si>
    <t>Net Financial Debt</t>
  </si>
  <si>
    <t>Fixed Assets &amp; Intangibles (EMV-NWC)</t>
  </si>
  <si>
    <t>Market Capitalization</t>
  </si>
  <si>
    <t>Enterprise Market Value</t>
  </si>
  <si>
    <t>EMV per share</t>
  </si>
  <si>
    <t>&lt;</t>
  </si>
  <si>
    <t>Total Debt</t>
  </si>
  <si>
    <t>Total Financial Debt</t>
  </si>
  <si>
    <t>Cash and Cash Equivalents</t>
  </si>
  <si>
    <t xml:space="preserve">                           Market Value of Debt </t>
  </si>
  <si>
    <t>Interest Expense</t>
  </si>
  <si>
    <t>Weighted Average Cost of Debt</t>
  </si>
  <si>
    <t>Book Value of Debt</t>
  </si>
  <si>
    <t>Interest Rate Paid</t>
  </si>
  <si>
    <t xml:space="preserve">Implied Rate of interest </t>
  </si>
  <si>
    <t xml:space="preserve"> Commercial Rate of Interest</t>
  </si>
  <si>
    <t xml:space="preserve">Implied Commercial Rate of Interest </t>
  </si>
  <si>
    <t xml:space="preserve">Implied Cost of Debt </t>
  </si>
  <si>
    <t>Tax Adjusted CAPM</t>
  </si>
  <si>
    <t>DS30</t>
  </si>
  <si>
    <t>Risk Free Rate, Rf</t>
  </si>
  <si>
    <t>Average Monthly Return</t>
  </si>
  <si>
    <t>Beta, β</t>
  </si>
  <si>
    <t>Annualized Returns</t>
  </si>
  <si>
    <t>Return on the Market, Rm</t>
  </si>
  <si>
    <t>Weight Assigned</t>
  </si>
  <si>
    <t>Average Tax Rate</t>
  </si>
  <si>
    <t xml:space="preserve">Expected Return on Market </t>
  </si>
  <si>
    <t>DSEX</t>
  </si>
  <si>
    <t>Cost of Equity</t>
  </si>
  <si>
    <t xml:space="preserve">Amar Stock </t>
  </si>
  <si>
    <t>Classical CAPM</t>
  </si>
  <si>
    <t>Implied Cost of Equity</t>
  </si>
  <si>
    <t>Date</t>
  </si>
  <si>
    <t>Price</t>
  </si>
  <si>
    <t>Change %</t>
  </si>
  <si>
    <t>DSEx</t>
  </si>
  <si>
    <t xml:space="preserve">Income Tax </t>
  </si>
  <si>
    <t xml:space="preserve">Income Tax Rate </t>
  </si>
  <si>
    <t>CAPM</t>
  </si>
  <si>
    <t>Gordon Model</t>
  </si>
  <si>
    <t>Weight of Debt</t>
  </si>
  <si>
    <t xml:space="preserve">Weight of Equity </t>
  </si>
  <si>
    <t>Implied Cost of Debt</t>
  </si>
  <si>
    <t>Implied effective tax rate</t>
  </si>
  <si>
    <t>Total Equity Payout</t>
  </si>
  <si>
    <t>Cash Dividend paid</t>
  </si>
  <si>
    <t>Cash (%)</t>
  </si>
  <si>
    <t>Stock (%)</t>
  </si>
  <si>
    <t>Total (%)</t>
  </si>
  <si>
    <t>Number of shares outstanding</t>
  </si>
  <si>
    <t>Cost of debt</t>
  </si>
  <si>
    <t>Net income before Tax</t>
  </si>
  <si>
    <t>Implied short term growth rate</t>
  </si>
  <si>
    <t>TFD &amp; NFD</t>
  </si>
  <si>
    <t>Risk Premium</t>
  </si>
  <si>
    <t>BETA</t>
  </si>
  <si>
    <t>Market capitalization</t>
  </si>
  <si>
    <t>Cash Dividend per share</t>
  </si>
  <si>
    <t xml:space="preserve"> ENTERPRISE VALUATION </t>
  </si>
  <si>
    <t>Stock Dividend per Share</t>
  </si>
  <si>
    <t>Dividend per Share</t>
  </si>
  <si>
    <t>Implied Dividend Growth Rate</t>
  </si>
  <si>
    <t>Gordon Growth Model</t>
  </si>
  <si>
    <t>All Cash Flows to Equity Model</t>
  </si>
  <si>
    <t>Re</t>
  </si>
  <si>
    <t>Cost of equity</t>
  </si>
  <si>
    <t>All CFs to Equity Model</t>
  </si>
  <si>
    <t>GORDON MODELS</t>
  </si>
  <si>
    <t>Total Operating current liability</t>
  </si>
  <si>
    <t xml:space="preserve">Weighted Average Cost of Debt </t>
  </si>
  <si>
    <t xml:space="preserve">Lanka Bangla </t>
  </si>
  <si>
    <t>Beta Calculated using DS30</t>
  </si>
  <si>
    <t>Beta Calculated using DSEx</t>
  </si>
  <si>
    <t xml:space="preserve">Risk Premium </t>
  </si>
  <si>
    <t>Calculations for WACC</t>
  </si>
  <si>
    <t>Market Value of Equity</t>
  </si>
  <si>
    <t>Market Price per Share</t>
  </si>
  <si>
    <t>Market Value of Debt</t>
  </si>
  <si>
    <t>Weights assigned</t>
  </si>
  <si>
    <t>Implied Average Cost of Equity</t>
  </si>
  <si>
    <t>DCF (Pro-forma)</t>
  </si>
  <si>
    <t>DCF (CCF)</t>
  </si>
  <si>
    <t>Target Price</t>
  </si>
  <si>
    <t>Upside Potential</t>
  </si>
  <si>
    <t>Value per share</t>
  </si>
  <si>
    <t>Sector: Pharmaceuticals &amp; Chemicals</t>
  </si>
  <si>
    <r>
      <t xml:space="preserve">Recommendation: </t>
    </r>
    <r>
      <rPr>
        <b/>
        <sz val="16"/>
        <color rgb="FF006FC0"/>
        <rFont val="Arial"/>
        <family val="2"/>
      </rPr>
      <t>BUY</t>
    </r>
  </si>
  <si>
    <t>Operating Profit Growth</t>
  </si>
  <si>
    <t>SQUARE PHARMACEUTICALS LTD.</t>
  </si>
  <si>
    <t>Short Term Loan</t>
  </si>
  <si>
    <t>Share premium</t>
  </si>
  <si>
    <t>General Reserve</t>
  </si>
  <si>
    <t>Tax Exemption Reserve</t>
  </si>
  <si>
    <t>Gain on marketable securities (Unrealized)</t>
  </si>
  <si>
    <t>Liabilities for other finances</t>
  </si>
  <si>
    <t>Liabilities for expenses</t>
  </si>
  <si>
    <t>Trade creditors</t>
  </si>
  <si>
    <t>Property, plant and equipment - Carrying Value</t>
  </si>
  <si>
    <t>Short term loan</t>
  </si>
  <si>
    <t>Cumulative Translation Adujustment</t>
  </si>
  <si>
    <t>Pre-operating expenses</t>
  </si>
  <si>
    <t>Investment in marketable securities (Fair Value)</t>
  </si>
  <si>
    <t>Investment - associates undertaking</t>
  </si>
  <si>
    <t>Investment - long term</t>
  </si>
  <si>
    <t>Gross revenue</t>
  </si>
  <si>
    <t>Less: Value Added Tax</t>
  </si>
  <si>
    <t>Net revenue</t>
  </si>
  <si>
    <t>Operating profit</t>
  </si>
  <si>
    <t>Finance Cost</t>
  </si>
  <si>
    <t>Allocation for WPPF</t>
  </si>
  <si>
    <t>Income tax expenses - Current</t>
  </si>
  <si>
    <t>Income tax expenses - Deferred</t>
  </si>
  <si>
    <t>Total tax expense</t>
  </si>
  <si>
    <t>Profit/(loss) from associate undertakings</t>
  </si>
  <si>
    <t>Other Comprehensive Income:</t>
  </si>
  <si>
    <t>Gain/(loss) on marketable securities (unrealized)</t>
  </si>
  <si>
    <t>Total comprehensive income for the year</t>
  </si>
  <si>
    <t>Profit attributable to:</t>
  </si>
  <si>
    <t>Owners of the company</t>
  </si>
  <si>
    <t>Non controlling interest</t>
  </si>
  <si>
    <t>Total comprehensive income attributable to:</t>
  </si>
  <si>
    <t>Earnings per share (EPS)</t>
  </si>
  <si>
    <t>Selling &amp; distribution expenses</t>
  </si>
  <si>
    <t>Cumulative translation adjustment</t>
  </si>
  <si>
    <t>RECEIPTS:</t>
  </si>
  <si>
    <t>Collection from sales</t>
  </si>
  <si>
    <t>others</t>
  </si>
  <si>
    <t>PAYMENTS:</t>
  </si>
  <si>
    <t>Purchase of raw and packing materials</t>
  </si>
  <si>
    <t>Manufacturing and operating expenses</t>
  </si>
  <si>
    <t>Value added tax</t>
  </si>
  <si>
    <t>Income tax expense</t>
  </si>
  <si>
    <t>Workers profit participation fund</t>
  </si>
  <si>
    <t>Purchase of fixed assets</t>
  </si>
  <si>
    <t>Disposal of fixed assets</t>
  </si>
  <si>
    <t>Investment</t>
  </si>
  <si>
    <t>Gain on sale of marketable securities</t>
  </si>
  <si>
    <t>Interest received</t>
  </si>
  <si>
    <t>Dividend received</t>
  </si>
  <si>
    <t>Long term loan repaid</t>
  </si>
  <si>
    <t>Short term bank loan decrease</t>
  </si>
  <si>
    <t>Dividend Paid</t>
  </si>
  <si>
    <t>Increase in cash and cash equivalents</t>
  </si>
  <si>
    <t>Cash and cash equivalents at the opening</t>
  </si>
  <si>
    <t>Exchange fluctuation gain</t>
  </si>
  <si>
    <t>Non controlling interest (Payments)</t>
  </si>
  <si>
    <t>Total Current liability</t>
  </si>
  <si>
    <t>Current Operating Liabilities</t>
  </si>
  <si>
    <t>Share Price as of July 06, 2021</t>
  </si>
  <si>
    <t>July 6th, 2021</t>
  </si>
  <si>
    <t>Share Price (06/07/21)</t>
  </si>
  <si>
    <t xml:space="preserve">Square Pharmaceuticals Ltd. </t>
  </si>
  <si>
    <t>Sales growth</t>
  </si>
  <si>
    <t>Net Fixed Assets</t>
  </si>
  <si>
    <t>Depreciation Rate</t>
  </si>
  <si>
    <t>Inventory</t>
  </si>
  <si>
    <t>Tax/Deferred Tax Liability</t>
  </si>
  <si>
    <t>Debt/Equity</t>
  </si>
  <si>
    <t>Trade Payables/Sales</t>
  </si>
  <si>
    <t>Cost of Goods/Sales</t>
  </si>
  <si>
    <t>Operating Expenses/Sales</t>
  </si>
  <si>
    <t>FInance Costs</t>
  </si>
  <si>
    <t>WPPF/Sales</t>
  </si>
  <si>
    <t>Short-term Loan Growth</t>
  </si>
  <si>
    <t>Other Income/Investment in Shares</t>
  </si>
  <si>
    <t>Short-term Loans</t>
  </si>
  <si>
    <t>Long-term Investment/Total Other Non-current Assets</t>
  </si>
  <si>
    <t>Investment in marketable securities/Other  Non-current Assets</t>
  </si>
  <si>
    <t>Date: July 06, 2021</t>
  </si>
  <si>
    <t>DSE: SQURPHARMA</t>
  </si>
  <si>
    <t>Upside Potential: 29.00%</t>
  </si>
  <si>
    <r>
      <t>Target Price: BDT 281.09</t>
    </r>
    <r>
      <rPr>
        <b/>
        <sz val="16"/>
        <color rgb="FFFF0000"/>
        <rFont val="Arial"/>
        <family val="2"/>
      </rPr>
      <t xml:space="preserve"> </t>
    </r>
    <r>
      <rPr>
        <b/>
        <sz val="14"/>
        <color rgb="FF000000"/>
        <rFont val="Arial"/>
        <family val="2"/>
      </rPr>
      <t>(USD 3.32)</t>
    </r>
  </si>
  <si>
    <t>Current Price: BDT 217.9 (USD 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</si>
</sst>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_(* #,##0_);_(* \(#,##0\);_(* &quot;-&quot;??_);_(@_)"/>
    <numFmt numFmtId="166" formatCode="_-* #,##0_-;\-* #,##0_-;_-* &quot;-&quot;??_-;_-@"/>
    <numFmt numFmtId="167" formatCode="0.000"/>
    <numFmt numFmtId="168" formatCode="0.0000%"/>
  </numFmts>
  <fonts count="95">
    <font>
      <sz val="11"/>
      <color theme="1"/>
      <name val="Arial"/>
    </font>
    <font>
      <sz val="11"/>
      <color theme="1"/>
      <name val="Twentieth Century"/>
      <family val="2"/>
      <scheme val="minor"/>
    </font>
    <font>
      <sz val="11"/>
      <color theme="1"/>
      <name val="Twentieth Century"/>
      <family val="2"/>
      <scheme val="minor"/>
    </font>
    <font>
      <b/>
      <sz val="18"/>
      <color theme="0"/>
      <name val="Twentieth Century"/>
    </font>
    <font>
      <sz val="11"/>
      <name val="Arial"/>
      <family val="2"/>
    </font>
    <font>
      <b/>
      <sz val="16"/>
      <color theme="0"/>
      <name val="Twentieth Century"/>
    </font>
    <font>
      <sz val="11"/>
      <color theme="1"/>
      <name val="Twentieth Century"/>
    </font>
    <font>
      <b/>
      <sz val="11"/>
      <color theme="1"/>
      <name val="Twentieth Century"/>
    </font>
    <font>
      <sz val="12"/>
      <color theme="1"/>
      <name val="Twentieth Century"/>
    </font>
    <font>
      <b/>
      <sz val="12"/>
      <color theme="1"/>
      <name val="Twentieth Century"/>
    </font>
    <font>
      <b/>
      <sz val="14"/>
      <color theme="1"/>
      <name val="Twentieth Century"/>
    </font>
    <font>
      <u/>
      <sz val="11"/>
      <color rgb="FF6B9F25"/>
      <name val="Twentieth Century"/>
    </font>
    <font>
      <sz val="11"/>
      <color theme="1"/>
      <name val="Twentieth Century"/>
    </font>
    <font>
      <sz val="11"/>
      <color rgb="FF000000"/>
      <name val="Calibri"/>
      <family val="2"/>
    </font>
    <font>
      <sz val="11"/>
      <color rgb="FF000000"/>
      <name val="Arial"/>
      <family val="2"/>
    </font>
    <font>
      <sz val="14"/>
      <color theme="1"/>
      <name val="Twentieth Century"/>
    </font>
    <font>
      <sz val="10"/>
      <color theme="1"/>
      <name val="Arimo"/>
    </font>
    <font>
      <b/>
      <sz val="14"/>
      <color theme="0"/>
      <name val="Twentieth Century"/>
    </font>
    <font>
      <b/>
      <sz val="12"/>
      <color rgb="FF3F3F3F"/>
      <name val="Twentieth Century"/>
    </font>
    <font>
      <b/>
      <sz val="22"/>
      <color theme="0"/>
      <name val="Twentieth Century"/>
    </font>
    <font>
      <sz val="28"/>
      <color theme="0"/>
      <name val="Twentieth Century"/>
    </font>
    <font>
      <b/>
      <sz val="16"/>
      <color rgb="FF000000"/>
      <name val="Calibri"/>
      <family val="2"/>
    </font>
    <font>
      <sz val="18"/>
      <color theme="1"/>
      <name val="Twentieth Century"/>
    </font>
    <font>
      <b/>
      <sz val="12"/>
      <color rgb="FF000000"/>
      <name val="Times New Roman"/>
      <family val="1"/>
    </font>
    <font>
      <sz val="11"/>
      <color rgb="FF000000"/>
      <name val="Inconsolata"/>
    </font>
    <font>
      <b/>
      <sz val="12"/>
      <color rgb="FF000000"/>
      <name val="Arial"/>
      <family val="2"/>
    </font>
    <font>
      <sz val="11"/>
      <color theme="1"/>
      <name val="Arial"/>
      <family val="2"/>
    </font>
    <font>
      <b/>
      <sz val="18"/>
      <color theme="0"/>
      <name val="Twentieth Century"/>
      <scheme val="minor"/>
    </font>
    <font>
      <sz val="11"/>
      <name val="Twentieth Century"/>
      <scheme val="minor"/>
    </font>
    <font>
      <b/>
      <sz val="16"/>
      <color theme="0"/>
      <name val="Twentieth Century"/>
      <scheme val="minor"/>
    </font>
    <font>
      <sz val="11"/>
      <color theme="1"/>
      <name val="Twentieth Century"/>
      <scheme val="minor"/>
    </font>
    <font>
      <b/>
      <sz val="11"/>
      <color theme="1"/>
      <name val="Twentieth Century"/>
      <scheme val="minor"/>
    </font>
    <font>
      <sz val="16"/>
      <color rgb="FF373545"/>
      <name val="Twentieth Century"/>
      <scheme val="minor"/>
    </font>
    <font>
      <sz val="12"/>
      <color theme="1"/>
      <name val="Twentieth Century"/>
      <scheme val="minor"/>
    </font>
    <font>
      <b/>
      <sz val="12"/>
      <color theme="1"/>
      <name val="Twentieth Century"/>
      <scheme val="minor"/>
    </font>
    <font>
      <b/>
      <sz val="14"/>
      <color theme="1"/>
      <name val="Twentieth Century"/>
      <scheme val="minor"/>
    </font>
    <font>
      <sz val="14"/>
      <color theme="1"/>
      <name val="Twentieth Century"/>
      <scheme val="minor"/>
    </font>
    <font>
      <b/>
      <u/>
      <sz val="14"/>
      <color theme="1"/>
      <name val="Twentieth Century"/>
      <scheme val="minor"/>
    </font>
    <font>
      <sz val="11"/>
      <color rgb="FF000000"/>
      <name val="Twentieth Century"/>
      <scheme val="minor"/>
    </font>
    <font>
      <b/>
      <sz val="11"/>
      <color rgb="FF000000"/>
      <name val="Twentieth Century"/>
      <scheme val="minor"/>
    </font>
    <font>
      <b/>
      <sz val="12"/>
      <color rgb="FF000000"/>
      <name val="Twentieth Century"/>
      <scheme val="minor"/>
    </font>
    <font>
      <sz val="12"/>
      <color rgb="FF000000"/>
      <name val="Twentieth Century"/>
      <scheme val="minor"/>
    </font>
    <font>
      <b/>
      <sz val="16"/>
      <color theme="0"/>
      <name val="Twentieth Century"/>
      <scheme val="major"/>
    </font>
    <font>
      <sz val="11"/>
      <name val="Twentieth Century"/>
      <scheme val="major"/>
    </font>
    <font>
      <sz val="12"/>
      <color rgb="FFD4EAF3"/>
      <name val="Twentieth Century"/>
      <scheme val="minor"/>
    </font>
    <font>
      <sz val="12"/>
      <color theme="1"/>
      <name val="Arial"/>
      <family val="2"/>
    </font>
    <font>
      <sz val="18"/>
      <color theme="1"/>
      <name val="Arial"/>
      <family val="2"/>
    </font>
    <font>
      <sz val="14"/>
      <color rgb="FF000000"/>
      <name val="Twentieth Century"/>
      <scheme val="minor"/>
    </font>
    <font>
      <b/>
      <u/>
      <sz val="14"/>
      <color rgb="FF000000"/>
      <name val="Twentieth Century"/>
      <scheme val="minor"/>
    </font>
    <font>
      <b/>
      <sz val="14"/>
      <color rgb="FF000000"/>
      <name val="Twentieth Century"/>
      <scheme val="minor"/>
    </font>
    <font>
      <sz val="11"/>
      <color theme="2"/>
      <name val="Twentieth Century"/>
      <scheme val="minor"/>
    </font>
    <font>
      <b/>
      <sz val="11"/>
      <color theme="2"/>
      <name val="Twentieth Century"/>
      <scheme val="minor"/>
    </font>
    <font>
      <sz val="14"/>
      <color theme="2"/>
      <name val="Twentieth Century"/>
      <scheme val="minor"/>
    </font>
    <font>
      <sz val="12"/>
      <color theme="2"/>
      <name val="Twentieth Century"/>
      <scheme val="minor"/>
    </font>
    <font>
      <sz val="14"/>
      <color rgb="FF000000"/>
      <name val="Calibri"/>
      <family val="2"/>
    </font>
    <font>
      <b/>
      <sz val="14"/>
      <color theme="0"/>
      <name val="Times New Roman"/>
      <family val="1"/>
    </font>
    <font>
      <b/>
      <sz val="12"/>
      <color theme="0"/>
      <name val="Twentieth Century"/>
      <scheme val="minor"/>
    </font>
    <font>
      <sz val="12"/>
      <color theme="0"/>
      <name val="Twentieth Century"/>
      <scheme val="minor"/>
    </font>
    <font>
      <sz val="9"/>
      <color indexed="81"/>
      <name val="Tahoma"/>
      <family val="2"/>
    </font>
    <font>
      <b/>
      <sz val="9"/>
      <color indexed="81"/>
      <name val="Tahoma"/>
      <family val="2"/>
    </font>
    <font>
      <b/>
      <sz val="12"/>
      <color theme="1"/>
      <name val="Arial"/>
      <family val="2"/>
    </font>
    <font>
      <b/>
      <sz val="14"/>
      <color theme="0"/>
      <name val="Twentieth Century"/>
      <scheme val="minor"/>
    </font>
    <font>
      <sz val="11"/>
      <color theme="0"/>
      <name val="Twentieth Century"/>
      <scheme val="minor"/>
    </font>
    <font>
      <b/>
      <sz val="11"/>
      <color rgb="FF000000"/>
      <name val="Calibri"/>
      <family val="2"/>
    </font>
    <font>
      <sz val="14"/>
      <color theme="1"/>
      <name val="Arial"/>
      <family val="2"/>
    </font>
    <font>
      <b/>
      <sz val="14"/>
      <color theme="0"/>
      <name val="Arial"/>
      <family val="2"/>
    </font>
    <font>
      <b/>
      <sz val="14"/>
      <name val="Twentieth Century"/>
      <scheme val="minor"/>
    </font>
    <font>
      <b/>
      <sz val="16"/>
      <name val="Twentieth Century"/>
      <scheme val="minor"/>
    </font>
    <font>
      <b/>
      <sz val="14"/>
      <color theme="4" tint="-0.249977111117893"/>
      <name val="Twentieth Century"/>
      <family val="2"/>
      <scheme val="minor"/>
    </font>
    <font>
      <sz val="11"/>
      <color theme="0"/>
      <name val="Twentieth Century"/>
      <family val="2"/>
      <scheme val="minor"/>
    </font>
    <font>
      <sz val="10"/>
      <color indexed="81"/>
      <name val="Tahoma"/>
      <family val="2"/>
    </font>
    <font>
      <b/>
      <sz val="24"/>
      <color theme="0"/>
      <name val="Twentieth Century"/>
      <scheme val="minor"/>
    </font>
    <font>
      <b/>
      <sz val="16"/>
      <color theme="1"/>
      <name val="Twentieth Century"/>
      <scheme val="minor"/>
    </font>
    <font>
      <b/>
      <sz val="10"/>
      <color indexed="81"/>
      <name val="Tahoma"/>
      <family val="2"/>
    </font>
    <font>
      <b/>
      <sz val="16"/>
      <color rgb="FF000000"/>
      <name val="Twentieth Century"/>
      <scheme val="minor"/>
    </font>
    <font>
      <b/>
      <sz val="20"/>
      <color theme="0"/>
      <name val="Twentieth Century"/>
    </font>
    <font>
      <b/>
      <sz val="20"/>
      <color theme="0"/>
      <name val="Roboto"/>
    </font>
    <font>
      <b/>
      <sz val="16"/>
      <color theme="0"/>
      <name val="Arial"/>
      <family val="2"/>
    </font>
    <font>
      <b/>
      <sz val="18"/>
      <color theme="0"/>
      <name val="Times New Roman"/>
      <family val="1"/>
    </font>
    <font>
      <b/>
      <sz val="24"/>
      <color theme="0"/>
      <name val="Arial"/>
      <family val="2"/>
    </font>
    <font>
      <sz val="12"/>
      <color theme="1"/>
      <name val="Times New Roman"/>
      <family val="1"/>
    </font>
    <font>
      <sz val="12"/>
      <color rgb="FF000000"/>
      <name val="Times New Roman"/>
      <family val="1"/>
    </font>
    <font>
      <sz val="12"/>
      <color theme="1"/>
      <name val="Twentieth Century"/>
      <family val="1"/>
      <scheme val="minor"/>
    </font>
    <font>
      <b/>
      <sz val="26"/>
      <color theme="0"/>
      <name val="Times New Roman"/>
      <family val="1"/>
    </font>
    <font>
      <b/>
      <sz val="26"/>
      <color theme="0"/>
      <name val="Arial"/>
      <family val="2"/>
    </font>
    <font>
      <b/>
      <sz val="12"/>
      <color theme="1"/>
      <name val="Twentieth Century"/>
      <family val="1"/>
      <scheme val="minor"/>
    </font>
    <font>
      <sz val="20"/>
      <color theme="1"/>
      <name val="Twentieth Century"/>
      <scheme val="minor"/>
    </font>
    <font>
      <b/>
      <sz val="26"/>
      <color theme="0"/>
      <name val="Twentieth Century"/>
    </font>
    <font>
      <sz val="24"/>
      <color theme="0"/>
      <name val="Arial"/>
      <family val="2"/>
    </font>
    <font>
      <b/>
      <sz val="28"/>
      <color theme="0"/>
      <name val="Arial"/>
      <family val="2"/>
    </font>
    <font>
      <b/>
      <sz val="14"/>
      <color rgb="FF000000"/>
      <name val="Arial"/>
      <family val="2"/>
    </font>
    <font>
      <b/>
      <sz val="16"/>
      <color rgb="FF006FC0"/>
      <name val="Arial"/>
      <family val="2"/>
    </font>
    <font>
      <b/>
      <sz val="16"/>
      <color rgb="FFFF0000"/>
      <name val="Arial"/>
      <family val="2"/>
    </font>
    <font>
      <sz val="11"/>
      <color theme="1"/>
      <name val="Arial"/>
      <family val="2"/>
    </font>
    <font>
      <b/>
      <sz val="11"/>
      <color theme="1"/>
      <name val="Arial"/>
      <family val="2"/>
    </font>
  </fonts>
  <fills count="66">
    <fill>
      <patternFill patternType="none"/>
    </fill>
    <fill>
      <patternFill patternType="gray125"/>
    </fill>
    <fill>
      <patternFill patternType="solid">
        <fgColor rgb="FF1B1A22"/>
        <bgColor rgb="FF1B1A22"/>
      </patternFill>
    </fill>
    <fill>
      <patternFill patternType="solid">
        <fgColor theme="4"/>
        <bgColor theme="4"/>
      </patternFill>
    </fill>
    <fill>
      <patternFill patternType="solid">
        <fgColor rgb="FFE6EEF0"/>
        <bgColor rgb="FFE6EEF0"/>
      </patternFill>
    </fill>
    <fill>
      <patternFill patternType="solid">
        <fgColor rgb="FFD4EAF3"/>
        <bgColor rgb="FFD4EAF3"/>
      </patternFill>
    </fill>
    <fill>
      <patternFill patternType="solid">
        <fgColor rgb="FFA5A5A5"/>
        <bgColor rgb="FFA5A5A5"/>
      </patternFill>
    </fill>
    <fill>
      <patternFill patternType="solid">
        <fgColor rgb="FF7FC1DB"/>
        <bgColor rgb="FF7FC1DB"/>
      </patternFill>
    </fill>
    <fill>
      <patternFill patternType="solid">
        <fgColor rgb="FFA9D5E7"/>
        <bgColor rgb="FFA9D5E7"/>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rgb="FF7F7F7F"/>
        <bgColor rgb="FF7F7F7F"/>
      </patternFill>
    </fill>
    <fill>
      <patternFill patternType="solid">
        <fgColor theme="1"/>
        <bgColor theme="1"/>
      </patternFill>
    </fill>
    <fill>
      <patternFill patternType="solid">
        <fgColor rgb="FFB1C5D7"/>
        <bgColor rgb="FFB1C5D7"/>
      </patternFill>
    </fill>
    <fill>
      <patternFill patternType="solid">
        <fgColor rgb="FFA3CEED"/>
        <bgColor rgb="FFA3CEED"/>
      </patternFill>
    </fill>
    <fill>
      <patternFill patternType="solid">
        <fgColor rgb="FF243748"/>
        <bgColor rgb="FF243748"/>
      </patternFill>
    </fill>
    <fill>
      <patternFill patternType="solid">
        <fgColor rgb="FF0E161C"/>
        <bgColor rgb="FF0E161C"/>
      </patternFill>
    </fill>
    <fill>
      <patternFill patternType="solid">
        <fgColor rgb="FFE6EEF0"/>
        <bgColor indexed="64"/>
      </patternFill>
    </fill>
    <fill>
      <patternFill patternType="solid">
        <fgColor theme="6"/>
        <bgColor indexed="64"/>
      </patternFill>
    </fill>
    <fill>
      <patternFill patternType="solid">
        <fgColor rgb="FF7F7F7F"/>
        <bgColor indexed="64"/>
      </patternFill>
    </fill>
    <fill>
      <patternFill patternType="solid">
        <fgColor rgb="FFA9D5E7"/>
        <bgColor indexed="64"/>
      </patternFill>
    </fill>
    <fill>
      <patternFill patternType="solid">
        <fgColor rgb="FF26A6C0"/>
        <bgColor indexed="64"/>
      </patternFill>
    </fill>
    <fill>
      <patternFill patternType="solid">
        <fgColor theme="4" tint="-0.249977111117893"/>
        <bgColor rgb="FFFFFFFF"/>
      </patternFill>
    </fill>
    <fill>
      <patternFill patternType="solid">
        <fgColor theme="1"/>
        <bgColor rgb="FFFFFFFF"/>
      </patternFill>
    </fill>
    <fill>
      <patternFill patternType="solid">
        <fgColor theme="4" tint="0.79998168889431442"/>
        <bgColor rgb="FFFFFFFF"/>
      </patternFill>
    </fill>
    <fill>
      <patternFill patternType="solid">
        <fgColor theme="4" tint="0.59999389629810485"/>
        <bgColor rgb="FFFFFFFF"/>
      </patternFill>
    </fill>
    <fill>
      <patternFill patternType="solid">
        <fgColor rgb="FFA9D5E7"/>
        <bgColor rgb="FFFFFFFF"/>
      </patternFill>
    </fill>
    <fill>
      <patternFill patternType="solid">
        <fgColor theme="0"/>
        <bgColor rgb="FFFFFFFF"/>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tint="0.79998168889431442"/>
        <bgColor rgb="FFFFFFFF"/>
      </patternFill>
    </fill>
    <fill>
      <patternFill patternType="solid">
        <fgColor theme="9" tint="0.79998168889431442"/>
        <bgColor indexed="64"/>
      </patternFill>
    </fill>
    <fill>
      <patternFill patternType="solid">
        <fgColor theme="4" tint="-0.249977111117893"/>
        <bgColor rgb="FF4A86E8"/>
      </patternFill>
    </fill>
    <fill>
      <patternFill patternType="solid">
        <fgColor theme="4" tint="0.59999389629810485"/>
        <bgColor rgb="FFCFE2F3"/>
      </patternFill>
    </fill>
    <fill>
      <patternFill patternType="solid">
        <fgColor theme="2"/>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499984740745262"/>
        <bgColor rgb="FFFFFFFF"/>
      </patternFill>
    </fill>
    <fill>
      <patternFill patternType="solid">
        <fgColor theme="0" tint="-4.9989318521683403E-2"/>
        <bgColor indexed="64"/>
      </patternFill>
    </fill>
    <fill>
      <patternFill patternType="solid">
        <fgColor theme="2" tint="-0.34998626667073579"/>
        <bgColor indexed="64"/>
      </patternFill>
    </fill>
    <fill>
      <patternFill patternType="solid">
        <fgColor theme="0" tint="-4.9989318521683403E-2"/>
        <bgColor rgb="FFFFFFFF"/>
      </patternFill>
    </fill>
    <fill>
      <patternFill patternType="solid">
        <fgColor theme="2"/>
        <bgColor rgb="FFFFFFFF"/>
      </patternFill>
    </fill>
    <fill>
      <patternFill patternType="solid">
        <fgColor theme="5" tint="0.39997558519241921"/>
        <bgColor rgb="FFFFFFFF"/>
      </patternFill>
    </fill>
    <fill>
      <patternFill patternType="solid">
        <fgColor theme="5" tint="-0.249977111117893"/>
        <bgColor indexed="64"/>
      </patternFill>
    </fill>
    <fill>
      <patternFill patternType="solid">
        <fgColor theme="8" tint="-0.249977111117893"/>
        <bgColor rgb="FFFFFFFF"/>
      </patternFill>
    </fill>
    <fill>
      <patternFill patternType="solid">
        <fgColor rgb="FF7F7F7F"/>
        <bgColor rgb="FFE6EEF0"/>
      </patternFill>
    </fill>
    <fill>
      <patternFill patternType="solid">
        <fgColor rgb="FFA9D5E7"/>
        <bgColor rgb="FFE6EEF0"/>
      </patternFill>
    </fill>
    <fill>
      <patternFill patternType="solid">
        <fgColor theme="4" tint="0.79998168889431442"/>
        <bgColor indexed="65"/>
      </patternFill>
    </fill>
    <fill>
      <patternFill patternType="solid">
        <fgColor theme="5"/>
      </patternFill>
    </fill>
    <fill>
      <patternFill patternType="solid">
        <fgColor theme="5" tint="0.79998168889431442"/>
        <bgColor indexed="64"/>
      </patternFill>
    </fill>
    <fill>
      <patternFill patternType="solid">
        <fgColor theme="2" tint="-0.249977111117893"/>
        <bgColor rgb="FFFFFFFF"/>
      </patternFill>
    </fill>
    <fill>
      <patternFill patternType="solid">
        <fgColor theme="4" tint="0.59999389629810485"/>
        <bgColor indexed="64"/>
      </patternFill>
    </fill>
    <fill>
      <patternFill patternType="solid">
        <fgColor theme="8" tint="0.79998168889431442"/>
        <bgColor rgb="FFFFFFFF"/>
      </patternFill>
    </fill>
    <fill>
      <patternFill patternType="solid">
        <fgColor theme="7" tint="-0.249977111117893"/>
        <bgColor rgb="FFFFFFFF"/>
      </patternFill>
    </fill>
    <fill>
      <patternFill patternType="solid">
        <fgColor theme="7" tint="-0.249977111117893"/>
        <bgColor indexed="64"/>
      </patternFill>
    </fill>
    <fill>
      <patternFill patternType="solid">
        <fgColor theme="6" tint="-0.249977111117893"/>
        <bgColor indexed="64"/>
      </patternFill>
    </fill>
    <fill>
      <patternFill patternType="solid">
        <fgColor theme="5" tint="-0.499984740745262"/>
        <bgColor indexed="64"/>
      </patternFill>
    </fill>
    <fill>
      <patternFill patternType="solid">
        <fgColor theme="8" tint="0.79998168889431442"/>
        <bgColor indexed="64"/>
      </patternFill>
    </fill>
    <fill>
      <patternFill patternType="solid">
        <fgColor theme="0"/>
        <bgColor rgb="FF7F7F7F"/>
      </patternFill>
    </fill>
    <fill>
      <patternFill patternType="solid">
        <fgColor theme="0"/>
        <bgColor rgb="FFE6EEF0"/>
      </patternFill>
    </fill>
    <fill>
      <patternFill patternType="solid">
        <fgColor theme="0"/>
        <bgColor rgb="FFA9D5E7"/>
      </patternFill>
    </fill>
    <fill>
      <patternFill patternType="solid">
        <fgColor theme="0" tint="-0.34998626667073579"/>
        <bgColor indexed="64"/>
      </patternFill>
    </fill>
  </fills>
  <borders count="15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thin">
        <color rgb="FF000000"/>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rgb="FF000000"/>
      </top>
      <bottom/>
      <diagonal/>
    </border>
    <border>
      <left style="medium">
        <color indexed="64"/>
      </left>
      <right style="thin">
        <color indexed="64"/>
      </right>
      <top style="thin">
        <color rgb="FF000000"/>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theme="4" tint="-0.249977111117893"/>
      </right>
      <top/>
      <bottom style="medium">
        <color theme="4" tint="-0.249977111117893"/>
      </bottom>
      <diagonal/>
    </border>
    <border>
      <left/>
      <right/>
      <top/>
      <bottom style="medium">
        <color theme="4" tint="-0.249977111117893"/>
      </bottom>
      <diagonal/>
    </border>
    <border>
      <left style="medium">
        <color theme="4" tint="-0.249977111117893"/>
      </left>
      <right/>
      <top/>
      <bottom style="medium">
        <color theme="4" tint="-0.249977111117893"/>
      </bottom>
      <diagonal/>
    </border>
    <border>
      <left/>
      <right style="medium">
        <color theme="4" tint="-0.249977111117893"/>
      </right>
      <top/>
      <bottom/>
      <diagonal/>
    </border>
    <border>
      <left style="medium">
        <color theme="4" tint="-0.249977111117893"/>
      </left>
      <right/>
      <top/>
      <bottom/>
      <diagonal/>
    </border>
    <border>
      <left/>
      <right style="medium">
        <color theme="4" tint="-0.249977111117893"/>
      </right>
      <top style="medium">
        <color theme="4" tint="-0.249977111117893"/>
      </top>
      <bottom/>
      <diagonal/>
    </border>
    <border>
      <left/>
      <right/>
      <top style="medium">
        <color theme="4" tint="-0.249977111117893"/>
      </top>
      <bottom/>
      <diagonal/>
    </border>
    <border>
      <left style="medium">
        <color theme="4" tint="-0.249977111117893"/>
      </left>
      <right/>
      <top style="medium">
        <color theme="4" tint="-0.249977111117893"/>
      </top>
      <bottom/>
      <diagonal/>
    </border>
    <border>
      <left style="thick">
        <color indexed="64"/>
      </left>
      <right/>
      <top style="thick">
        <color indexed="64"/>
      </top>
      <bottom style="thick">
        <color indexed="64"/>
      </bottom>
      <diagonal/>
    </border>
    <border>
      <left/>
      <right style="thick">
        <color indexed="64"/>
      </right>
      <top/>
      <bottom/>
      <diagonal/>
    </border>
    <border>
      <left/>
      <right style="thick">
        <color indexed="64"/>
      </right>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rgb="FF000000"/>
      </left>
      <right style="medium">
        <color indexed="64"/>
      </right>
      <top style="medium">
        <color indexed="64"/>
      </top>
      <bottom style="medium">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style="thin">
        <color indexed="64"/>
      </right>
      <top/>
      <bottom style="thick">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bottom style="thin">
        <color indexed="64"/>
      </bottom>
      <diagonal/>
    </border>
    <border>
      <left style="medium">
        <color rgb="FF000000"/>
      </left>
      <right/>
      <top style="thin">
        <color rgb="FF000000"/>
      </top>
      <bottom style="medium">
        <color rgb="FF000000"/>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thin">
        <color rgb="FF000000"/>
      </right>
      <top style="medium">
        <color rgb="FF000000"/>
      </top>
      <bottom style="medium">
        <color rgb="FF000000"/>
      </bottom>
      <diagonal/>
    </border>
    <border>
      <left style="thin">
        <color rgb="FF000000"/>
      </left>
      <right style="medium">
        <color indexed="64"/>
      </right>
      <top style="medium">
        <color rgb="FF000000"/>
      </top>
      <bottom style="medium">
        <color rgb="FF000000"/>
      </bottom>
      <diagonal/>
    </border>
    <border>
      <left style="medium">
        <color indexed="64"/>
      </left>
      <right style="thin">
        <color rgb="FF000000"/>
      </right>
      <top style="medium">
        <color rgb="FF000000"/>
      </top>
      <bottom/>
      <diagonal/>
    </border>
    <border>
      <left/>
      <right style="medium">
        <color indexed="64"/>
      </right>
      <top style="medium">
        <color rgb="FF000000"/>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right style="medium">
        <color indexed="64"/>
      </right>
      <top/>
      <bottom style="thin">
        <color rgb="FF000000"/>
      </bottom>
      <diagonal/>
    </border>
    <border>
      <left style="thin">
        <color rgb="FF000000"/>
      </left>
      <right/>
      <top style="medium">
        <color indexed="64"/>
      </top>
      <bottom style="medium">
        <color indexed="64"/>
      </bottom>
      <diagonal/>
    </border>
    <border>
      <left style="thin">
        <color rgb="FF000000"/>
      </left>
      <right/>
      <top style="medium">
        <color indexed="64"/>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s>
  <cellStyleXfs count="8">
    <xf numFmtId="0" fontId="0" fillId="0" borderId="0"/>
    <xf numFmtId="0" fontId="26" fillId="0" borderId="40"/>
    <xf numFmtId="9" fontId="26" fillId="0" borderId="0" applyFont="0" applyFill="0" applyBorder="0" applyAlignment="0" applyProtection="0"/>
    <xf numFmtId="43" fontId="26" fillId="0" borderId="40" applyFont="0" applyFill="0" applyBorder="0" applyAlignment="0" applyProtection="0"/>
    <xf numFmtId="0" fontId="2" fillId="0" borderId="40"/>
    <xf numFmtId="0" fontId="1" fillId="51" borderId="0" applyNumberFormat="0" applyBorder="0" applyAlignment="0" applyProtection="0"/>
    <xf numFmtId="0" fontId="69" fillId="52" borderId="0" applyNumberFormat="0" applyBorder="0" applyAlignment="0" applyProtection="0"/>
    <xf numFmtId="43" fontId="93" fillId="0" borderId="0" applyFont="0" applyFill="0" applyBorder="0" applyAlignment="0" applyProtection="0"/>
  </cellStyleXfs>
  <cellXfs count="786">
    <xf numFmtId="0" fontId="0" fillId="0" borderId="0" xfId="0" applyFont="1" applyAlignment="1"/>
    <xf numFmtId="0" fontId="7" fillId="0" borderId="0" xfId="0" applyFont="1"/>
    <xf numFmtId="0" fontId="0" fillId="0" borderId="0" xfId="0" applyFont="1" applyAlignment="1"/>
    <xf numFmtId="0" fontId="10" fillId="0" borderId="8" xfId="0" applyFont="1" applyBorder="1"/>
    <xf numFmtId="0" fontId="10" fillId="0" borderId="10" xfId="0" applyFont="1" applyBorder="1"/>
    <xf numFmtId="0" fontId="17" fillId="11" borderId="32" xfId="0" applyFont="1" applyFill="1" applyBorder="1" applyAlignment="1">
      <alignment horizontal="center" vertical="center"/>
    </xf>
    <xf numFmtId="0" fontId="17" fillId="11" borderId="9" xfId="0" applyFont="1" applyFill="1" applyBorder="1" applyAlignment="1">
      <alignment horizontal="center" vertical="center"/>
    </xf>
    <xf numFmtId="0" fontId="17" fillId="11" borderId="33" xfId="0" applyFont="1" applyFill="1" applyBorder="1" applyAlignment="1">
      <alignment horizontal="center" vertical="center"/>
    </xf>
    <xf numFmtId="0" fontId="17" fillId="11" borderId="27" xfId="0" applyFont="1" applyFill="1" applyBorder="1" applyAlignment="1">
      <alignment horizontal="center" vertical="center"/>
    </xf>
    <xf numFmtId="3" fontId="9" fillId="11" borderId="21" xfId="0" applyNumberFormat="1" applyFont="1" applyFill="1" applyBorder="1" applyAlignment="1">
      <alignment horizontal="center" vertical="center"/>
    </xf>
    <xf numFmtId="0" fontId="8" fillId="0" borderId="14" xfId="0" applyFont="1" applyBorder="1" applyAlignment="1">
      <alignment horizontal="center"/>
    </xf>
    <xf numFmtId="165" fontId="8" fillId="0" borderId="42" xfId="0" applyNumberFormat="1" applyFont="1" applyBorder="1" applyAlignment="1">
      <alignment horizontal="center"/>
    </xf>
    <xf numFmtId="0" fontId="10" fillId="0" borderId="49" xfId="0" applyFont="1" applyBorder="1"/>
    <xf numFmtId="0" fontId="15" fillId="5" borderId="34" xfId="0" applyFont="1" applyFill="1" applyBorder="1"/>
    <xf numFmtId="165" fontId="15" fillId="5" borderId="12" xfId="0" applyNumberFormat="1" applyFont="1" applyFill="1" applyBorder="1"/>
    <xf numFmtId="0" fontId="15" fillId="5" borderId="12" xfId="0" applyFont="1" applyFill="1" applyBorder="1"/>
    <xf numFmtId="165" fontId="15" fillId="5" borderId="17" xfId="0" applyNumberFormat="1" applyFont="1" applyFill="1" applyBorder="1"/>
    <xf numFmtId="0" fontId="15" fillId="0" borderId="50" xfId="0" applyFont="1" applyBorder="1"/>
    <xf numFmtId="0" fontId="15" fillId="0" borderId="0" xfId="0" applyFont="1"/>
    <xf numFmtId="0" fontId="15" fillId="0" borderId="13" xfId="0" applyFont="1" applyBorder="1"/>
    <xf numFmtId="0" fontId="15" fillId="5" borderId="34" xfId="0" applyFont="1" applyFill="1" applyBorder="1" applyAlignment="1"/>
    <xf numFmtId="0" fontId="10" fillId="5" borderId="34" xfId="0" applyFont="1" applyFill="1" applyBorder="1"/>
    <xf numFmtId="165" fontId="10" fillId="5" borderId="12" xfId="0" applyNumberFormat="1" applyFont="1" applyFill="1" applyBorder="1"/>
    <xf numFmtId="0" fontId="10" fillId="5" borderId="12" xfId="0" applyFont="1" applyFill="1" applyBorder="1"/>
    <xf numFmtId="165" fontId="10" fillId="5" borderId="17" xfId="0" applyNumberFormat="1" applyFont="1" applyFill="1" applyBorder="1"/>
    <xf numFmtId="0" fontId="10" fillId="0" borderId="51" xfId="0" applyFont="1" applyBorder="1"/>
    <xf numFmtId="0" fontId="10" fillId="0" borderId="28" xfId="0" applyFont="1" applyBorder="1"/>
    <xf numFmtId="0" fontId="10" fillId="0" borderId="30" xfId="0" applyFont="1" applyBorder="1"/>
    <xf numFmtId="0" fontId="6" fillId="0" borderId="47" xfId="0" applyFont="1" applyBorder="1" applyAlignment="1">
      <alignment horizontal="center"/>
    </xf>
    <xf numFmtId="0" fontId="6" fillId="0" borderId="48" xfId="0" applyFont="1" applyBorder="1"/>
    <xf numFmtId="0" fontId="8" fillId="5" borderId="14" xfId="0" applyFont="1" applyFill="1" applyBorder="1" applyAlignment="1">
      <alignment horizontal="center"/>
    </xf>
    <xf numFmtId="165" fontId="8" fillId="5" borderId="42" xfId="0" applyNumberFormat="1" applyFont="1" applyFill="1" applyBorder="1" applyAlignment="1">
      <alignment horizontal="center"/>
    </xf>
    <xf numFmtId="0" fontId="20" fillId="17" borderId="52" xfId="0" applyFont="1" applyFill="1" applyBorder="1" applyAlignment="1">
      <alignment horizontal="center"/>
    </xf>
    <xf numFmtId="167" fontId="20" fillId="17" borderId="53" xfId="0" applyNumberFormat="1" applyFont="1" applyFill="1" applyBorder="1" applyAlignment="1">
      <alignment horizontal="center"/>
    </xf>
    <xf numFmtId="0" fontId="20" fillId="17" borderId="53" xfId="0" applyFont="1" applyFill="1" applyBorder="1" applyAlignment="1">
      <alignment horizontal="center"/>
    </xf>
    <xf numFmtId="167" fontId="20" fillId="17" borderId="54" xfId="0" applyNumberFormat="1" applyFont="1" applyFill="1" applyBorder="1" applyAlignment="1">
      <alignment horizontal="center"/>
    </xf>
    <xf numFmtId="0" fontId="10" fillId="0" borderId="0" xfId="0" applyFont="1"/>
    <xf numFmtId="0" fontId="0" fillId="0" borderId="40" xfId="1" applyFont="1"/>
    <xf numFmtId="0" fontId="16" fillId="0" borderId="40" xfId="1" applyFont="1"/>
    <xf numFmtId="0" fontId="6" fillId="0" borderId="40" xfId="1" applyFont="1"/>
    <xf numFmtId="0" fontId="6" fillId="10" borderId="31" xfId="1" applyFont="1" applyFill="1" applyBorder="1"/>
    <xf numFmtId="0" fontId="6" fillId="10" borderId="40" xfId="1" applyFont="1" applyFill="1"/>
    <xf numFmtId="0" fontId="6" fillId="8" borderId="31" xfId="1" applyFont="1" applyFill="1" applyBorder="1"/>
    <xf numFmtId="0" fontId="6" fillId="0" borderId="12" xfId="0" applyFont="1" applyFill="1" applyBorder="1"/>
    <xf numFmtId="9" fontId="5" fillId="3" borderId="68" xfId="2" applyFont="1" applyFill="1" applyBorder="1" applyAlignment="1">
      <alignment horizontal="center" vertical="center"/>
    </xf>
    <xf numFmtId="0" fontId="30" fillId="0" borderId="4" xfId="0" applyFont="1" applyBorder="1"/>
    <xf numFmtId="0" fontId="31" fillId="0" borderId="5" xfId="0" applyFont="1" applyBorder="1" applyAlignment="1">
      <alignment horizontal="center" vertical="center"/>
    </xf>
    <xf numFmtId="0" fontId="31" fillId="4" borderId="5" xfId="0" applyFont="1" applyFill="1" applyBorder="1" applyAlignment="1">
      <alignment horizontal="center" vertical="center"/>
    </xf>
    <xf numFmtId="0" fontId="31" fillId="0" borderId="6" xfId="0" applyFont="1" applyBorder="1" applyAlignment="1">
      <alignment horizontal="center" vertical="center"/>
    </xf>
    <xf numFmtId="0" fontId="33" fillId="0" borderId="11" xfId="0" applyFont="1" applyBorder="1"/>
    <xf numFmtId="0" fontId="34" fillId="5" borderId="14" xfId="0" applyFont="1" applyFill="1" applyBorder="1"/>
    <xf numFmtId="3" fontId="34" fillId="5" borderId="15" xfId="0" applyNumberFormat="1" applyFont="1" applyFill="1" applyBorder="1"/>
    <xf numFmtId="0" fontId="33" fillId="12" borderId="16" xfId="0" applyFont="1" applyFill="1" applyBorder="1"/>
    <xf numFmtId="37" fontId="33" fillId="12" borderId="12" xfId="0" applyNumberFormat="1" applyFont="1" applyFill="1" applyBorder="1"/>
    <xf numFmtId="37" fontId="33" fillId="12" borderId="17" xfId="0" applyNumberFormat="1" applyFont="1" applyFill="1" applyBorder="1"/>
    <xf numFmtId="0" fontId="30" fillId="0" borderId="56" xfId="0" applyFont="1" applyBorder="1"/>
    <xf numFmtId="0" fontId="31" fillId="0" borderId="55" xfId="0" applyFont="1" applyBorder="1" applyAlignment="1">
      <alignment horizontal="center" vertical="center"/>
    </xf>
    <xf numFmtId="0" fontId="31" fillId="4" borderId="55" xfId="0" applyFont="1" applyFill="1" applyBorder="1" applyAlignment="1">
      <alignment horizontal="center" vertical="center"/>
    </xf>
    <xf numFmtId="0" fontId="31" fillId="0" borderId="57" xfId="0" applyFont="1" applyBorder="1" applyAlignment="1">
      <alignment horizontal="center" vertical="center"/>
    </xf>
    <xf numFmtId="0" fontId="33" fillId="12" borderId="56" xfId="0" applyFont="1" applyFill="1" applyBorder="1"/>
    <xf numFmtId="0" fontId="33" fillId="12" borderId="55" xfId="0" applyFont="1" applyFill="1" applyBorder="1"/>
    <xf numFmtId="0" fontId="33" fillId="12" borderId="57" xfId="0" applyFont="1" applyFill="1" applyBorder="1"/>
    <xf numFmtId="0" fontId="33" fillId="0" borderId="56" xfId="0" applyFont="1" applyBorder="1"/>
    <xf numFmtId="0" fontId="34" fillId="8" borderId="56" xfId="0" applyFont="1" applyFill="1" applyBorder="1"/>
    <xf numFmtId="0" fontId="34" fillId="12" borderId="56" xfId="0" applyFont="1" applyFill="1" applyBorder="1"/>
    <xf numFmtId="0" fontId="34" fillId="0" borderId="56" xfId="0" applyFont="1" applyBorder="1"/>
    <xf numFmtId="0" fontId="34" fillId="0" borderId="56" xfId="0" applyFont="1" applyBorder="1" applyAlignment="1">
      <alignment wrapText="1"/>
    </xf>
    <xf numFmtId="0" fontId="34" fillId="8" borderId="56" xfId="0" applyFont="1" applyFill="1" applyBorder="1" applyAlignment="1">
      <alignment wrapText="1"/>
    </xf>
    <xf numFmtId="0" fontId="35" fillId="0" borderId="58" xfId="0" applyFont="1" applyBorder="1" applyAlignment="1">
      <alignment horizontal="left"/>
    </xf>
    <xf numFmtId="0" fontId="30" fillId="0" borderId="0" xfId="0" applyFont="1" applyAlignment="1"/>
    <xf numFmtId="9" fontId="30" fillId="0" borderId="0" xfId="0" applyNumberFormat="1" applyFont="1"/>
    <xf numFmtId="0" fontId="34" fillId="21" borderId="56" xfId="0" applyFont="1" applyFill="1" applyBorder="1" applyAlignment="1"/>
    <xf numFmtId="0" fontId="31" fillId="0" borderId="5" xfId="1" applyFont="1" applyBorder="1" applyAlignment="1">
      <alignment horizontal="center" vertical="center"/>
    </xf>
    <xf numFmtId="0" fontId="44" fillId="5" borderId="25" xfId="1" applyFont="1" applyFill="1" applyBorder="1" applyAlignment="1">
      <alignment horizontal="center"/>
    </xf>
    <xf numFmtId="0" fontId="30" fillId="9" borderId="0" xfId="0" applyFont="1" applyFill="1"/>
    <xf numFmtId="0" fontId="47" fillId="9" borderId="40" xfId="0" applyFont="1" applyFill="1" applyBorder="1" applyAlignment="1"/>
    <xf numFmtId="0" fontId="48" fillId="9" borderId="40" xfId="0" applyFont="1" applyFill="1" applyBorder="1" applyAlignment="1">
      <alignment horizontal="right"/>
    </xf>
    <xf numFmtId="0" fontId="51" fillId="24" borderId="40" xfId="0" applyFont="1" applyFill="1" applyBorder="1" applyAlignment="1">
      <alignment horizontal="center"/>
    </xf>
    <xf numFmtId="3" fontId="33" fillId="25" borderId="40" xfId="0" applyNumberFormat="1" applyFont="1" applyFill="1" applyBorder="1" applyAlignment="1"/>
    <xf numFmtId="0" fontId="53" fillId="24" borderId="40" xfId="0" applyFont="1" applyFill="1" applyBorder="1" applyAlignment="1">
      <alignment horizontal="right"/>
    </xf>
    <xf numFmtId="0" fontId="7" fillId="0" borderId="55" xfId="2" applyNumberFormat="1" applyFont="1" applyFill="1" applyBorder="1" applyAlignment="1">
      <alignment horizontal="center" vertical="center"/>
    </xf>
    <xf numFmtId="0" fontId="7" fillId="18" borderId="55" xfId="2" applyNumberFormat="1" applyFont="1" applyFill="1" applyBorder="1" applyAlignment="1">
      <alignment horizontal="center" vertical="center"/>
    </xf>
    <xf numFmtId="0" fontId="7" fillId="0" borderId="57" xfId="2" applyNumberFormat="1" applyFont="1" applyFill="1" applyBorder="1" applyAlignment="1">
      <alignment horizontal="center" vertical="center"/>
    </xf>
    <xf numFmtId="0" fontId="31" fillId="18" borderId="55" xfId="0" applyFont="1" applyFill="1" applyBorder="1" applyAlignment="1">
      <alignment horizontal="center" vertical="center"/>
    </xf>
    <xf numFmtId="0" fontId="31" fillId="18" borderId="57" xfId="0" applyFont="1" applyFill="1" applyBorder="1" applyAlignment="1">
      <alignment horizontal="center" vertical="center"/>
    </xf>
    <xf numFmtId="3" fontId="41" fillId="28" borderId="87" xfId="0" applyNumberFormat="1" applyFont="1" applyFill="1" applyBorder="1" applyAlignment="1">
      <alignment horizontal="right"/>
    </xf>
    <xf numFmtId="3" fontId="40" fillId="25" borderId="62" xfId="0" applyNumberFormat="1" applyFont="1" applyFill="1" applyBorder="1" applyAlignment="1"/>
    <xf numFmtId="0" fontId="50" fillId="24" borderId="76" xfId="0" applyFont="1" applyFill="1" applyBorder="1" applyAlignment="1"/>
    <xf numFmtId="0" fontId="51" fillId="24" borderId="77" xfId="0" applyFont="1" applyFill="1" applyBorder="1" applyAlignment="1">
      <alignment horizontal="center"/>
    </xf>
    <xf numFmtId="0" fontId="41" fillId="25" borderId="101" xfId="0" applyFont="1" applyFill="1" applyBorder="1" applyAlignment="1"/>
    <xf numFmtId="3" fontId="41" fillId="28" borderId="107" xfId="0" applyNumberFormat="1" applyFont="1" applyFill="1" applyBorder="1" applyAlignment="1">
      <alignment horizontal="left"/>
    </xf>
    <xf numFmtId="0" fontId="40" fillId="25" borderId="56" xfId="0" applyFont="1" applyFill="1" applyBorder="1" applyAlignment="1"/>
    <xf numFmtId="0" fontId="40" fillId="25" borderId="58" xfId="0" applyFont="1" applyFill="1" applyBorder="1" applyAlignment="1"/>
    <xf numFmtId="3" fontId="40" fillId="25" borderId="109" xfId="0" applyNumberFormat="1" applyFont="1" applyFill="1" applyBorder="1" applyAlignment="1"/>
    <xf numFmtId="0" fontId="41" fillId="28" borderId="107" xfId="0" applyFont="1" applyFill="1" applyBorder="1" applyAlignment="1"/>
    <xf numFmtId="3" fontId="33" fillId="28" borderId="87" xfId="0" applyNumberFormat="1" applyFont="1" applyFill="1" applyBorder="1" applyAlignment="1"/>
    <xf numFmtId="0" fontId="47" fillId="23" borderId="70" xfId="0" applyFont="1" applyFill="1" applyBorder="1" applyAlignment="1"/>
    <xf numFmtId="0" fontId="49" fillId="23" borderId="71" xfId="0" applyFont="1" applyFill="1" applyBorder="1" applyAlignment="1">
      <alignment horizontal="right"/>
    </xf>
    <xf numFmtId="0" fontId="61" fillId="23" borderId="71" xfId="0" applyFont="1" applyFill="1" applyBorder="1" applyAlignment="1">
      <alignment horizontal="right"/>
    </xf>
    <xf numFmtId="0" fontId="41" fillId="23" borderId="71" xfId="0" applyFont="1" applyFill="1" applyBorder="1" applyAlignment="1">
      <alignment horizontal="right"/>
    </xf>
    <xf numFmtId="0" fontId="41" fillId="23" borderId="72" xfId="0" applyFont="1" applyFill="1" applyBorder="1" applyAlignment="1">
      <alignment horizontal="right"/>
    </xf>
    <xf numFmtId="0" fontId="52" fillId="24" borderId="76" xfId="0" applyFont="1" applyFill="1" applyBorder="1" applyAlignment="1"/>
    <xf numFmtId="0" fontId="53" fillId="24" borderId="77" xfId="0" applyFont="1" applyFill="1" applyBorder="1" applyAlignment="1">
      <alignment horizontal="right"/>
    </xf>
    <xf numFmtId="0" fontId="62" fillId="28" borderId="0" xfId="0" applyFont="1" applyFill="1"/>
    <xf numFmtId="9" fontId="33" fillId="28" borderId="40" xfId="0" applyNumberFormat="1" applyFont="1" applyFill="1" applyBorder="1" applyAlignment="1"/>
    <xf numFmtId="0" fontId="33" fillId="9" borderId="40" xfId="0" applyFont="1" applyFill="1" applyBorder="1"/>
    <xf numFmtId="0" fontId="33" fillId="25" borderId="70" xfId="0" applyFont="1" applyFill="1" applyBorder="1" applyAlignment="1"/>
    <xf numFmtId="164" fontId="33" fillId="25" borderId="71" xfId="0" applyNumberFormat="1" applyFont="1" applyFill="1" applyBorder="1" applyAlignment="1"/>
    <xf numFmtId="9" fontId="33" fillId="25" borderId="72" xfId="0" applyNumberFormat="1" applyFont="1" applyFill="1" applyBorder="1" applyAlignment="1"/>
    <xf numFmtId="0" fontId="33" fillId="28" borderId="76" xfId="0" applyFont="1" applyFill="1" applyBorder="1" applyAlignment="1"/>
    <xf numFmtId="9" fontId="33" fillId="28" borderId="77" xfId="0" applyNumberFormat="1" applyFont="1" applyFill="1" applyBorder="1" applyAlignment="1"/>
    <xf numFmtId="0" fontId="29" fillId="41" borderId="112" xfId="0" applyFont="1" applyFill="1" applyBorder="1" applyAlignment="1">
      <alignment horizontal="center"/>
    </xf>
    <xf numFmtId="0" fontId="29" fillId="41" borderId="109" xfId="0" applyFont="1" applyFill="1" applyBorder="1" applyAlignment="1">
      <alignment horizontal="center"/>
    </xf>
    <xf numFmtId="10" fontId="29" fillId="41" borderId="110" xfId="0" applyNumberFormat="1" applyFont="1" applyFill="1" applyBorder="1" applyAlignment="1">
      <alignment horizontal="center"/>
    </xf>
    <xf numFmtId="0" fontId="26" fillId="0" borderId="40" xfId="1" applyFont="1" applyAlignment="1"/>
    <xf numFmtId="0" fontId="26" fillId="0" borderId="40" xfId="1" applyFont="1" applyFill="1" applyAlignment="1"/>
    <xf numFmtId="0" fontId="6" fillId="0" borderId="40" xfId="1" applyFont="1" applyFill="1"/>
    <xf numFmtId="0" fontId="6" fillId="0" borderId="40" xfId="1" applyFont="1" applyFill="1" applyAlignment="1"/>
    <xf numFmtId="0" fontId="6" fillId="0" borderId="40" xfId="1" applyFont="1" applyAlignment="1"/>
    <xf numFmtId="0" fontId="2" fillId="0" borderId="40" xfId="4"/>
    <xf numFmtId="0" fontId="2" fillId="0" borderId="113" xfId="4" applyBorder="1"/>
    <xf numFmtId="0" fontId="2" fillId="0" borderId="114" xfId="4" applyBorder="1"/>
    <xf numFmtId="0" fontId="2" fillId="0" borderId="115" xfId="4" applyBorder="1"/>
    <xf numFmtId="0" fontId="2" fillId="0" borderId="116" xfId="4" applyBorder="1"/>
    <xf numFmtId="0" fontId="2" fillId="0" borderId="40" xfId="4" applyBorder="1"/>
    <xf numFmtId="0" fontId="2" fillId="0" borderId="117" xfId="4" applyBorder="1"/>
    <xf numFmtId="0" fontId="2" fillId="38" borderId="40" xfId="4" applyFill="1"/>
    <xf numFmtId="0" fontId="2" fillId="0" borderId="118" xfId="4" applyBorder="1"/>
    <xf numFmtId="0" fontId="2" fillId="0" borderId="119" xfId="4" applyBorder="1"/>
    <xf numFmtId="0" fontId="2" fillId="0" borderId="120" xfId="4" applyBorder="1"/>
    <xf numFmtId="37" fontId="33" fillId="0" borderId="0" xfId="0" applyNumberFormat="1" applyFont="1"/>
    <xf numFmtId="37" fontId="33" fillId="4" borderId="12" xfId="0" applyNumberFormat="1" applyFont="1" applyFill="1" applyBorder="1"/>
    <xf numFmtId="37" fontId="33" fillId="0" borderId="13" xfId="0" applyNumberFormat="1" applyFont="1" applyBorder="1"/>
    <xf numFmtId="37" fontId="34" fillId="5" borderId="15" xfId="0" applyNumberFormat="1" applyFont="1" applyFill="1" applyBorder="1"/>
    <xf numFmtId="0" fontId="34" fillId="7" borderId="18" xfId="0" applyFont="1" applyFill="1" applyBorder="1"/>
    <xf numFmtId="3" fontId="34" fillId="7" borderId="19" xfId="0" applyNumberFormat="1" applyFont="1" applyFill="1" applyBorder="1"/>
    <xf numFmtId="0" fontId="35" fillId="20" borderId="7" xfId="0" applyFont="1" applyFill="1" applyBorder="1"/>
    <xf numFmtId="0" fontId="35" fillId="20" borderId="8" xfId="0" applyFont="1" applyFill="1" applyBorder="1"/>
    <xf numFmtId="0" fontId="35" fillId="49" borderId="9" xfId="0" applyFont="1" applyFill="1" applyBorder="1"/>
    <xf numFmtId="0" fontId="35" fillId="20" borderId="10" xfId="0" applyFont="1" applyFill="1" applyBorder="1"/>
    <xf numFmtId="0" fontId="33" fillId="20" borderId="11" xfId="0" applyFont="1" applyFill="1" applyBorder="1"/>
    <xf numFmtId="37" fontId="33" fillId="20" borderId="0" xfId="0" applyNumberFormat="1" applyFont="1" applyFill="1"/>
    <xf numFmtId="37" fontId="33" fillId="49" borderId="12" xfId="0" applyNumberFormat="1" applyFont="1" applyFill="1" applyBorder="1"/>
    <xf numFmtId="37" fontId="33" fillId="20" borderId="13" xfId="0" applyNumberFormat="1" applyFont="1" applyFill="1" applyBorder="1"/>
    <xf numFmtId="0" fontId="34" fillId="21" borderId="11" xfId="0" applyFont="1" applyFill="1" applyBorder="1"/>
    <xf numFmtId="0" fontId="34" fillId="21" borderId="0" xfId="0" applyFont="1" applyFill="1"/>
    <xf numFmtId="0" fontId="34" fillId="50" borderId="12" xfId="0" applyFont="1" applyFill="1" applyBorder="1"/>
    <xf numFmtId="0" fontId="34" fillId="21" borderId="13" xfId="0" applyFont="1" applyFill="1" applyBorder="1"/>
    <xf numFmtId="37" fontId="34" fillId="21" borderId="0" xfId="0" applyNumberFormat="1" applyFont="1" applyFill="1"/>
    <xf numFmtId="37" fontId="34" fillId="50" borderId="12" xfId="0" applyNumberFormat="1" applyFont="1" applyFill="1" applyBorder="1"/>
    <xf numFmtId="37" fontId="34" fillId="21" borderId="13" xfId="0" applyNumberFormat="1" applyFont="1" applyFill="1" applyBorder="1"/>
    <xf numFmtId="0" fontId="29" fillId="41" borderId="103" xfId="0" applyFont="1" applyFill="1" applyBorder="1" applyAlignment="1"/>
    <xf numFmtId="9" fontId="29" fillId="41" borderId="105" xfId="0" applyNumberFormat="1" applyFont="1" applyFill="1" applyBorder="1" applyAlignment="1"/>
    <xf numFmtId="0" fontId="53" fillId="24" borderId="40" xfId="0" applyFont="1" applyFill="1" applyBorder="1" applyAlignment="1">
      <alignment horizontal="center"/>
    </xf>
    <xf numFmtId="0" fontId="53" fillId="24" borderId="77" xfId="0" applyFont="1" applyFill="1" applyBorder="1" applyAlignment="1">
      <alignment horizontal="center"/>
    </xf>
    <xf numFmtId="3" fontId="41" fillId="25" borderId="40" xfId="0" applyNumberFormat="1" applyFont="1" applyFill="1" applyBorder="1" applyAlignment="1">
      <alignment horizontal="center"/>
    </xf>
    <xf numFmtId="3" fontId="33" fillId="25" borderId="40" xfId="0" applyNumberFormat="1" applyFont="1" applyFill="1" applyBorder="1" applyAlignment="1">
      <alignment horizontal="center"/>
    </xf>
    <xf numFmtId="0" fontId="34" fillId="28" borderId="40" xfId="0" applyFont="1" applyFill="1" applyBorder="1" applyAlignment="1">
      <alignment horizontal="center"/>
    </xf>
    <xf numFmtId="10" fontId="33" fillId="27" borderId="40" xfId="0" applyNumberFormat="1" applyFont="1" applyFill="1" applyBorder="1" applyAlignment="1">
      <alignment horizontal="center"/>
    </xf>
    <xf numFmtId="0" fontId="33" fillId="25" borderId="87" xfId="0" applyFont="1" applyFill="1" applyBorder="1" applyAlignment="1">
      <alignment horizontal="center"/>
    </xf>
    <xf numFmtId="9" fontId="33" fillId="25" borderId="87" xfId="0" applyNumberFormat="1" applyFont="1" applyFill="1" applyBorder="1" applyAlignment="1">
      <alignment horizontal="center"/>
    </xf>
    <xf numFmtId="10" fontId="33" fillId="25" borderId="40" xfId="0" applyNumberFormat="1" applyFont="1" applyFill="1" applyBorder="1" applyAlignment="1">
      <alignment horizontal="center"/>
    </xf>
    <xf numFmtId="0" fontId="33" fillId="25" borderId="101" xfId="0" applyFont="1" applyFill="1" applyBorder="1" applyAlignment="1"/>
    <xf numFmtId="0" fontId="34" fillId="28" borderId="101" xfId="0" applyFont="1" applyFill="1" applyBorder="1" applyAlignment="1"/>
    <xf numFmtId="0" fontId="33" fillId="25" borderId="107" xfId="0" applyFont="1" applyFill="1" applyBorder="1" applyAlignment="1"/>
    <xf numFmtId="0" fontId="85" fillId="38" borderId="40" xfId="5" applyFont="1" applyFill="1" applyBorder="1" applyAlignment="1">
      <alignment horizontal="center" vertical="center"/>
    </xf>
    <xf numFmtId="10" fontId="1" fillId="51" borderId="40" xfId="5" applyNumberFormat="1" applyBorder="1" applyAlignment="1">
      <alignment horizontal="center" vertical="center"/>
    </xf>
    <xf numFmtId="9" fontId="0" fillId="0" borderId="40" xfId="0" applyNumberFormat="1" applyBorder="1" applyAlignment="1">
      <alignment horizontal="center" vertical="center"/>
    </xf>
    <xf numFmtId="10" fontId="1" fillId="51" borderId="77" xfId="5" applyNumberFormat="1" applyBorder="1" applyAlignment="1">
      <alignment horizontal="center" vertical="center"/>
    </xf>
    <xf numFmtId="0" fontId="85" fillId="38" borderId="101" xfId="0" applyFont="1" applyFill="1" applyBorder="1" applyAlignment="1">
      <alignment horizontal="center" vertical="center"/>
    </xf>
    <xf numFmtId="0" fontId="85" fillId="38" borderId="77" xfId="0" applyFont="1" applyFill="1" applyBorder="1" applyAlignment="1">
      <alignment horizontal="center" vertical="center"/>
    </xf>
    <xf numFmtId="0" fontId="85" fillId="51" borderId="101" xfId="5" applyFont="1" applyBorder="1" applyAlignment="1">
      <alignment horizontal="center" vertical="center"/>
    </xf>
    <xf numFmtId="0" fontId="85" fillId="0" borderId="107" xfId="0" applyFont="1" applyBorder="1" applyAlignment="1">
      <alignment horizontal="center" vertical="center"/>
    </xf>
    <xf numFmtId="9" fontId="0" fillId="0" borderId="77" xfId="0" applyNumberFormat="1" applyBorder="1" applyAlignment="1">
      <alignment horizontal="center" vertical="center"/>
    </xf>
    <xf numFmtId="0" fontId="19" fillId="16" borderId="143" xfId="0" applyFont="1" applyFill="1" applyBorder="1" applyAlignment="1">
      <alignment horizontal="center"/>
    </xf>
    <xf numFmtId="167" fontId="19" fillId="16" borderId="20" xfId="0" applyNumberFormat="1" applyFont="1" applyFill="1" applyBorder="1" applyAlignment="1">
      <alignment horizontal="center"/>
    </xf>
    <xf numFmtId="0" fontId="86" fillId="21" borderId="56" xfId="0" applyFont="1" applyFill="1" applyBorder="1" applyAlignment="1">
      <alignment horizontal="center"/>
    </xf>
    <xf numFmtId="3" fontId="86" fillId="21" borderId="57" xfId="0" applyNumberFormat="1" applyFont="1" applyFill="1" applyBorder="1" applyAlignment="1">
      <alignment horizontal="center"/>
    </xf>
    <xf numFmtId="0" fontId="86" fillId="0" borderId="56" xfId="0" applyFont="1" applyBorder="1" applyAlignment="1">
      <alignment horizontal="center"/>
    </xf>
    <xf numFmtId="0" fontId="86" fillId="0" borderId="57" xfId="0" applyFont="1" applyBorder="1" applyAlignment="1">
      <alignment horizontal="center"/>
    </xf>
    <xf numFmtId="0" fontId="87" fillId="16" borderId="73" xfId="0" applyFont="1" applyFill="1" applyBorder="1" applyAlignment="1">
      <alignment horizontal="center"/>
    </xf>
    <xf numFmtId="167" fontId="87" fillId="16" borderId="75" xfId="0" applyNumberFormat="1" applyFont="1" applyFill="1" applyBorder="1" applyAlignment="1">
      <alignment horizontal="center"/>
    </xf>
    <xf numFmtId="0" fontId="46" fillId="61" borderId="131" xfId="1" applyFont="1" applyFill="1" applyBorder="1" applyAlignment="1">
      <alignment horizontal="center"/>
    </xf>
    <xf numFmtId="0" fontId="46" fillId="61" borderId="55" xfId="1" applyFont="1" applyFill="1" applyBorder="1" applyAlignment="1">
      <alignment horizontal="center"/>
    </xf>
    <xf numFmtId="0" fontId="46" fillId="61" borderId="57" xfId="1" applyFont="1" applyFill="1" applyBorder="1" applyAlignment="1">
      <alignment horizontal="center"/>
    </xf>
    <xf numFmtId="9" fontId="46" fillId="61" borderId="55" xfId="1" applyNumberFormat="1" applyFont="1" applyFill="1" applyBorder="1" applyAlignment="1">
      <alignment horizontal="center"/>
    </xf>
    <xf numFmtId="0" fontId="46" fillId="61" borderId="107" xfId="1" applyFont="1" applyFill="1" applyBorder="1" applyAlignment="1">
      <alignment horizontal="center"/>
    </xf>
    <xf numFmtId="0" fontId="46" fillId="38" borderId="101" xfId="1" applyFont="1" applyFill="1" applyBorder="1" applyAlignment="1">
      <alignment horizontal="center"/>
    </xf>
    <xf numFmtId="9" fontId="46" fillId="38" borderId="55" xfId="1" applyNumberFormat="1" applyFont="1" applyFill="1" applyBorder="1" applyAlignment="1">
      <alignment horizontal="center"/>
    </xf>
    <xf numFmtId="0" fontId="46" fillId="38" borderId="57" xfId="1" applyFont="1" applyFill="1" applyBorder="1" applyAlignment="1">
      <alignment horizontal="center"/>
    </xf>
    <xf numFmtId="10" fontId="89" fillId="37" borderId="75" xfId="2" applyNumberFormat="1" applyFont="1" applyFill="1" applyBorder="1" applyAlignment="1">
      <alignment horizontal="center"/>
    </xf>
    <xf numFmtId="0" fontId="88" fillId="29" borderId="108" xfId="1" applyFont="1" applyFill="1" applyBorder="1" applyAlignment="1">
      <alignment horizontal="center"/>
    </xf>
    <xf numFmtId="0" fontId="90" fillId="61" borderId="70" xfId="0" applyFont="1" applyFill="1" applyBorder="1" applyAlignment="1">
      <alignment horizontal="center" vertical="center" wrapText="1"/>
    </xf>
    <xf numFmtId="0" fontId="90" fillId="61" borderId="71" xfId="0" applyFont="1" applyFill="1" applyBorder="1" applyAlignment="1">
      <alignment horizontal="center" vertical="center" wrapText="1"/>
    </xf>
    <xf numFmtId="0" fontId="90" fillId="61" borderId="72" xfId="0" applyFont="1" applyFill="1" applyBorder="1" applyAlignment="1">
      <alignment horizontal="center" vertical="center" wrapText="1"/>
    </xf>
    <xf numFmtId="0" fontId="90" fillId="61" borderId="76" xfId="0" applyFont="1" applyFill="1" applyBorder="1" applyAlignment="1">
      <alignment horizontal="center" vertical="center" wrapText="1"/>
    </xf>
    <xf numFmtId="0" fontId="90" fillId="61" borderId="40" xfId="0" applyFont="1" applyFill="1" applyBorder="1" applyAlignment="1">
      <alignment horizontal="center" vertical="center" wrapText="1"/>
    </xf>
    <xf numFmtId="0" fontId="90" fillId="61" borderId="77" xfId="0" applyFont="1" applyFill="1" applyBorder="1" applyAlignment="1">
      <alignment horizontal="center" vertical="center" wrapText="1"/>
    </xf>
    <xf numFmtId="0" fontId="90" fillId="61" borderId="73" xfId="0" applyFont="1" applyFill="1" applyBorder="1" applyAlignment="1">
      <alignment horizontal="center" vertical="center" wrapText="1"/>
    </xf>
    <xf numFmtId="0" fontId="90" fillId="61" borderId="74" xfId="0" applyFont="1" applyFill="1" applyBorder="1" applyAlignment="1">
      <alignment horizontal="center" vertical="center" wrapText="1"/>
    </xf>
    <xf numFmtId="0" fontId="90" fillId="61" borderId="75" xfId="0" applyFont="1" applyFill="1" applyBorder="1" applyAlignment="1">
      <alignment horizontal="center" vertical="center" wrapText="1"/>
    </xf>
    <xf numFmtId="0" fontId="30" fillId="0" borderId="146" xfId="1" applyFont="1" applyBorder="1"/>
    <xf numFmtId="0" fontId="31" fillId="0" borderId="147" xfId="1" applyFont="1" applyBorder="1" applyAlignment="1">
      <alignment horizontal="center" vertical="center"/>
    </xf>
    <xf numFmtId="0" fontId="34" fillId="5" borderId="148" xfId="1" applyFont="1" applyFill="1" applyBorder="1"/>
    <xf numFmtId="0" fontId="44" fillId="5" borderId="149" xfId="1" applyFont="1" applyFill="1" applyBorder="1" applyAlignment="1">
      <alignment horizontal="center"/>
    </xf>
    <xf numFmtId="0" fontId="33" fillId="0" borderId="150" xfId="1" applyFont="1" applyBorder="1" applyAlignment="1">
      <alignment horizontal="left"/>
    </xf>
    <xf numFmtId="10" fontId="33" fillId="0" borderId="40" xfId="1" applyNumberFormat="1" applyFont="1" applyBorder="1" applyAlignment="1">
      <alignment horizontal="center"/>
    </xf>
    <xf numFmtId="10" fontId="33" fillId="0" borderId="77" xfId="1" applyNumberFormat="1" applyFont="1" applyBorder="1" applyAlignment="1">
      <alignment horizontal="center"/>
    </xf>
    <xf numFmtId="0" fontId="33" fillId="12" borderId="150" xfId="1" applyFont="1" applyFill="1" applyBorder="1" applyAlignment="1">
      <alignment horizontal="left"/>
    </xf>
    <xf numFmtId="0" fontId="33" fillId="12" borderId="40" xfId="1" applyFont="1" applyFill="1" applyBorder="1" applyAlignment="1">
      <alignment horizontal="center"/>
    </xf>
    <xf numFmtId="0" fontId="33" fillId="12" borderId="77" xfId="1" applyFont="1" applyFill="1" applyBorder="1" applyAlignment="1">
      <alignment horizontal="center"/>
    </xf>
    <xf numFmtId="0" fontId="34" fillId="5" borderId="150" xfId="1" applyFont="1" applyFill="1" applyBorder="1" applyAlignment="1">
      <alignment horizontal="left"/>
    </xf>
    <xf numFmtId="0" fontId="33" fillId="5" borderId="40" xfId="1" applyFont="1" applyFill="1" applyBorder="1" applyAlignment="1">
      <alignment horizontal="center"/>
    </xf>
    <xf numFmtId="0" fontId="33" fillId="5" borderId="77" xfId="1" applyFont="1" applyFill="1" applyBorder="1" applyAlignment="1">
      <alignment horizontal="center"/>
    </xf>
    <xf numFmtId="0" fontId="33" fillId="12" borderId="150" xfId="1" applyFont="1" applyFill="1" applyBorder="1"/>
    <xf numFmtId="0" fontId="33" fillId="0" borderId="40" xfId="1" applyFont="1" applyBorder="1" applyAlignment="1">
      <alignment horizontal="center"/>
    </xf>
    <xf numFmtId="10" fontId="33" fillId="12" borderId="40" xfId="1" applyNumberFormat="1" applyFont="1" applyFill="1" applyBorder="1" applyAlignment="1">
      <alignment horizontal="center"/>
    </xf>
    <xf numFmtId="10" fontId="33" fillId="12" borderId="77" xfId="1" applyNumberFormat="1" applyFont="1" applyFill="1" applyBorder="1" applyAlignment="1">
      <alignment horizontal="center"/>
    </xf>
    <xf numFmtId="0" fontId="34" fillId="5" borderId="150" xfId="1" applyFont="1" applyFill="1" applyBorder="1"/>
    <xf numFmtId="3" fontId="33" fillId="0" borderId="40" xfId="1" applyNumberFormat="1" applyFont="1" applyBorder="1" applyAlignment="1">
      <alignment horizontal="center"/>
    </xf>
    <xf numFmtId="3" fontId="33" fillId="0" borderId="77" xfId="1" applyNumberFormat="1" applyFont="1" applyBorder="1" applyAlignment="1">
      <alignment horizontal="center"/>
    </xf>
    <xf numFmtId="0" fontId="33" fillId="0" borderId="151" xfId="1" applyFont="1" applyBorder="1"/>
    <xf numFmtId="0" fontId="33" fillId="0" borderId="74" xfId="1" applyFont="1" applyBorder="1"/>
    <xf numFmtId="0" fontId="33" fillId="0" borderId="75" xfId="1" applyFont="1" applyBorder="1"/>
    <xf numFmtId="0" fontId="33" fillId="0" borderId="16" xfId="0" applyFont="1" applyBorder="1"/>
    <xf numFmtId="37" fontId="33" fillId="4" borderId="40" xfId="0" applyNumberFormat="1" applyFont="1" applyFill="1" applyBorder="1"/>
    <xf numFmtId="37" fontId="33" fillId="0" borderId="41" xfId="0" applyNumberFormat="1" applyFont="1" applyBorder="1"/>
    <xf numFmtId="0" fontId="33" fillId="62" borderId="56" xfId="0" applyFont="1" applyFill="1" applyBorder="1"/>
    <xf numFmtId="0" fontId="0" fillId="38" borderId="0" xfId="0" applyFont="1" applyFill="1" applyAlignment="1"/>
    <xf numFmtId="0" fontId="34" fillId="55" borderId="56" xfId="0" applyFont="1" applyFill="1" applyBorder="1" applyAlignment="1"/>
    <xf numFmtId="0" fontId="33" fillId="64" borderId="56" xfId="0" applyFont="1" applyFill="1" applyBorder="1"/>
    <xf numFmtId="0" fontId="33" fillId="38" borderId="56" xfId="0" applyFont="1" applyFill="1" applyBorder="1" applyAlignment="1"/>
    <xf numFmtId="0" fontId="34" fillId="0" borderId="11" xfId="0" applyFont="1" applyBorder="1"/>
    <xf numFmtId="0" fontId="0" fillId="0" borderId="0" xfId="0" applyFont="1" applyAlignment="1">
      <alignment vertical="center"/>
    </xf>
    <xf numFmtId="0" fontId="30" fillId="0" borderId="4" xfId="0" applyFont="1" applyBorder="1" applyAlignment="1">
      <alignment vertical="center"/>
    </xf>
    <xf numFmtId="0" fontId="32" fillId="0" borderId="7" xfId="0" applyFont="1" applyBorder="1" applyAlignment="1">
      <alignment vertical="center"/>
    </xf>
    <xf numFmtId="0" fontId="33" fillId="0" borderId="11" xfId="0" applyFont="1" applyBorder="1" applyAlignment="1">
      <alignment vertical="center"/>
    </xf>
    <xf numFmtId="0" fontId="33" fillId="0" borderId="16" xfId="0" applyFont="1" applyBorder="1" applyAlignment="1">
      <alignment vertical="center"/>
    </xf>
    <xf numFmtId="0" fontId="34" fillId="5" borderId="14" xfId="0" applyFont="1" applyFill="1" applyBorder="1" applyAlignment="1">
      <alignment vertical="center"/>
    </xf>
    <xf numFmtId="0" fontId="33" fillId="6" borderId="16" xfId="0" applyFont="1" applyFill="1" applyBorder="1" applyAlignment="1">
      <alignment vertical="center"/>
    </xf>
    <xf numFmtId="0" fontId="7" fillId="0" borderId="0" xfId="0" applyFont="1" applyAlignment="1">
      <alignment vertical="center"/>
    </xf>
    <xf numFmtId="0" fontId="30" fillId="0" borderId="11" xfId="0" applyFont="1" applyBorder="1" applyAlignment="1">
      <alignment vertical="center"/>
    </xf>
    <xf numFmtId="0" fontId="35" fillId="7" borderId="14" xfId="0" applyFont="1" applyFill="1" applyBorder="1" applyAlignment="1">
      <alignment vertical="center"/>
    </xf>
    <xf numFmtId="0" fontId="30" fillId="6" borderId="16" xfId="0" applyFont="1" applyFill="1" applyBorder="1" applyAlignment="1">
      <alignment vertical="center"/>
    </xf>
    <xf numFmtId="0" fontId="32" fillId="0" borderId="11" xfId="0" applyFont="1" applyBorder="1" applyAlignment="1">
      <alignment vertical="center"/>
    </xf>
    <xf numFmtId="0" fontId="34" fillId="8" borderId="16" xfId="0" applyFont="1" applyFill="1" applyBorder="1" applyAlignment="1">
      <alignment vertical="center"/>
    </xf>
    <xf numFmtId="0" fontId="35" fillId="7" borderId="18" xfId="0" applyFont="1" applyFill="1" applyBorder="1" applyAlignment="1">
      <alignment vertical="center"/>
    </xf>
    <xf numFmtId="37" fontId="34" fillId="0" borderId="153" xfId="0" applyNumberFormat="1" applyFont="1" applyBorder="1"/>
    <xf numFmtId="37" fontId="34" fillId="0" borderId="104" xfId="0" applyNumberFormat="1" applyFont="1" applyBorder="1"/>
    <xf numFmtId="37" fontId="34" fillId="0" borderId="105" xfId="0" applyNumberFormat="1" applyFont="1" applyBorder="1"/>
    <xf numFmtId="37" fontId="33" fillId="0" borderId="77" xfId="0" applyNumberFormat="1" applyFont="1" applyBorder="1"/>
    <xf numFmtId="3" fontId="34" fillId="5" borderId="78" xfId="0" applyNumberFormat="1" applyFont="1" applyFill="1" applyBorder="1"/>
    <xf numFmtId="37" fontId="34" fillId="5" borderId="78" xfId="0" applyNumberFormat="1" applyFont="1" applyFill="1" applyBorder="1"/>
    <xf numFmtId="37" fontId="33" fillId="12" borderId="77" xfId="0" applyNumberFormat="1" applyFont="1" applyFill="1" applyBorder="1"/>
    <xf numFmtId="37" fontId="34" fillId="21" borderId="77" xfId="0" applyNumberFormat="1" applyFont="1" applyFill="1" applyBorder="1"/>
    <xf numFmtId="37" fontId="34" fillId="0" borderId="154" xfId="0" applyNumberFormat="1" applyFont="1" applyBorder="1"/>
    <xf numFmtId="37" fontId="34" fillId="0" borderId="96" xfId="0" applyNumberFormat="1" applyFont="1" applyBorder="1"/>
    <xf numFmtId="10" fontId="0" fillId="0" borderId="0" xfId="2" applyNumberFormat="1" applyFont="1" applyAlignment="1">
      <alignment vertical="center"/>
    </xf>
    <xf numFmtId="0" fontId="6" fillId="0" borderId="12" xfId="0" applyFont="1" applyFill="1" applyBorder="1" applyAlignment="1">
      <alignment vertical="center"/>
    </xf>
    <xf numFmtId="0" fontId="28" fillId="0" borderId="40" xfId="0" applyFont="1" applyBorder="1" applyAlignment="1">
      <alignment vertical="center"/>
    </xf>
    <xf numFmtId="0" fontId="9" fillId="7" borderId="34" xfId="0" applyFont="1" applyFill="1" applyBorder="1" applyAlignment="1">
      <alignment vertical="center"/>
    </xf>
    <xf numFmtId="0" fontId="9" fillId="7" borderId="12" xfId="0" applyFont="1" applyFill="1" applyBorder="1" applyAlignment="1">
      <alignment vertical="center"/>
    </xf>
    <xf numFmtId="0" fontId="9" fillId="7" borderId="35" xfId="0" applyFont="1" applyFill="1" applyBorder="1" applyAlignment="1">
      <alignment vertical="center"/>
    </xf>
    <xf numFmtId="0" fontId="9" fillId="7" borderId="17" xfId="0" applyFont="1" applyFill="1" applyBorder="1" applyAlignment="1">
      <alignment vertical="center"/>
    </xf>
    <xf numFmtId="0" fontId="18" fillId="10" borderId="34" xfId="0" applyFont="1" applyFill="1" applyBorder="1" applyAlignment="1">
      <alignment vertical="center"/>
    </xf>
    <xf numFmtId="0" fontId="18" fillId="10" borderId="12" xfId="0" applyFont="1" applyFill="1" applyBorder="1" applyAlignment="1">
      <alignment vertical="center"/>
    </xf>
    <xf numFmtId="0" fontId="18" fillId="10" borderId="35" xfId="0" applyFont="1" applyFill="1" applyBorder="1" applyAlignment="1">
      <alignment vertical="center"/>
    </xf>
    <xf numFmtId="166" fontId="18" fillId="10" borderId="17" xfId="0" applyNumberFormat="1" applyFont="1" applyFill="1" applyBorder="1" applyAlignment="1">
      <alignment vertical="center"/>
    </xf>
    <xf numFmtId="166" fontId="18" fillId="10" borderId="12" xfId="0" applyNumberFormat="1" applyFont="1" applyFill="1" applyBorder="1" applyAlignment="1">
      <alignment vertical="center"/>
    </xf>
    <xf numFmtId="0" fontId="9" fillId="8" borderId="34" xfId="0" applyFont="1" applyFill="1" applyBorder="1" applyAlignment="1">
      <alignment vertical="center"/>
    </xf>
    <xf numFmtId="166" fontId="9" fillId="8" borderId="12" xfId="0" applyNumberFormat="1" applyFont="1" applyFill="1" applyBorder="1" applyAlignment="1">
      <alignment vertical="center"/>
    </xf>
    <xf numFmtId="0" fontId="18" fillId="8" borderId="35" xfId="0" applyFont="1" applyFill="1" applyBorder="1" applyAlignment="1">
      <alignment vertical="center"/>
    </xf>
    <xf numFmtId="0" fontId="9" fillId="8" borderId="12" xfId="0" applyFont="1" applyFill="1" applyBorder="1" applyAlignment="1">
      <alignment vertical="center"/>
    </xf>
    <xf numFmtId="166" fontId="9" fillId="8" borderId="17" xfId="0" applyNumberFormat="1" applyFont="1" applyFill="1" applyBorder="1" applyAlignment="1">
      <alignment vertical="center"/>
    </xf>
    <xf numFmtId="0" fontId="18" fillId="10" borderId="40" xfId="0" applyFont="1" applyFill="1" applyBorder="1" applyAlignment="1">
      <alignment vertical="center"/>
    </xf>
    <xf numFmtId="166" fontId="18" fillId="10" borderId="41" xfId="0" applyNumberFormat="1" applyFont="1" applyFill="1" applyBorder="1" applyAlignment="1">
      <alignment vertical="center"/>
    </xf>
    <xf numFmtId="0" fontId="9" fillId="7" borderId="36" xfId="0" applyFont="1" applyFill="1" applyBorder="1" applyAlignment="1">
      <alignment vertical="center"/>
    </xf>
    <xf numFmtId="166" fontId="9" fillId="7" borderId="29" xfId="0" applyNumberFormat="1" applyFont="1" applyFill="1" applyBorder="1" applyAlignment="1">
      <alignment vertical="center"/>
    </xf>
    <xf numFmtId="0" fontId="9" fillId="7" borderId="37" xfId="0" applyFont="1" applyFill="1" applyBorder="1" applyAlignment="1">
      <alignment vertical="center"/>
    </xf>
    <xf numFmtId="0" fontId="9" fillId="7" borderId="29" xfId="0" applyFont="1" applyFill="1" applyBorder="1" applyAlignment="1">
      <alignment vertical="center"/>
    </xf>
    <xf numFmtId="166" fontId="9" fillId="7" borderId="38" xfId="0" applyNumberFormat="1" applyFont="1" applyFill="1" applyBorder="1" applyAlignment="1">
      <alignment vertical="center"/>
    </xf>
    <xf numFmtId="0" fontId="9" fillId="11" borderId="14" xfId="0" applyFont="1" applyFill="1" applyBorder="1" applyAlignment="1">
      <alignment horizontal="left" vertical="center" wrapText="1"/>
    </xf>
    <xf numFmtId="3" fontId="9" fillId="11" borderId="42" xfId="0" applyNumberFormat="1" applyFont="1" applyFill="1" applyBorder="1" applyAlignment="1">
      <alignment vertical="center"/>
    </xf>
    <xf numFmtId="0" fontId="42" fillId="13" borderId="24" xfId="0" applyFont="1" applyFill="1" applyBorder="1" applyAlignment="1">
      <alignment horizontal="center" vertical="center"/>
    </xf>
    <xf numFmtId="0" fontId="43" fillId="0" borderId="25" xfId="0" applyFont="1" applyBorder="1" applyAlignment="1">
      <alignment vertical="center"/>
    </xf>
    <xf numFmtId="0" fontId="43" fillId="0" borderId="26" xfId="0" applyFont="1" applyBorder="1" applyAlignment="1">
      <alignment vertical="center"/>
    </xf>
    <xf numFmtId="0" fontId="9" fillId="5" borderId="14" xfId="0" applyFont="1" applyFill="1" applyBorder="1" applyAlignment="1">
      <alignment horizontal="left" vertical="center" wrapText="1"/>
    </xf>
    <xf numFmtId="3" fontId="9" fillId="5" borderId="21" xfId="0" applyNumberFormat="1" applyFont="1" applyFill="1" applyBorder="1" applyAlignment="1">
      <alignment horizontal="center" vertical="center"/>
    </xf>
    <xf numFmtId="3" fontId="9" fillId="5" borderId="42" xfId="0" applyNumberFormat="1" applyFont="1" applyFill="1" applyBorder="1" applyAlignment="1">
      <alignment vertical="center"/>
    </xf>
    <xf numFmtId="0" fontId="42" fillId="13" borderId="39" xfId="0" applyFont="1" applyFill="1" applyBorder="1" applyAlignment="1">
      <alignment horizontal="center" vertical="center"/>
    </xf>
    <xf numFmtId="0" fontId="43" fillId="0" borderId="40" xfId="0" applyFont="1" applyBorder="1" applyAlignment="1">
      <alignment vertical="center"/>
    </xf>
    <xf numFmtId="0" fontId="43" fillId="0" borderId="41" xfId="0" applyFont="1" applyBorder="1" applyAlignment="1">
      <alignment vertical="center"/>
    </xf>
    <xf numFmtId="0" fontId="9" fillId="15" borderId="43" xfId="0" applyFont="1" applyFill="1" applyBorder="1" applyAlignment="1">
      <alignment horizontal="center" vertical="center"/>
    </xf>
    <xf numFmtId="0" fontId="9" fillId="15" borderId="44" xfId="0" applyFont="1" applyFill="1" applyBorder="1" applyAlignment="1">
      <alignment horizontal="center" vertical="center"/>
    </xf>
    <xf numFmtId="0" fontId="9" fillId="15" borderId="45" xfId="0" applyFont="1" applyFill="1" applyBorder="1" applyAlignment="1">
      <alignment horizontal="center" vertical="center"/>
    </xf>
    <xf numFmtId="0" fontId="9" fillId="15" borderId="46" xfId="0" applyFont="1" applyFill="1" applyBorder="1" applyAlignment="1">
      <alignment horizontal="center" vertical="center"/>
    </xf>
    <xf numFmtId="0" fontId="18" fillId="10" borderId="17" xfId="0" applyFont="1" applyFill="1" applyBorder="1" applyAlignment="1">
      <alignment vertical="center"/>
    </xf>
    <xf numFmtId="0" fontId="9" fillId="5" borderId="34" xfId="0" applyFont="1" applyFill="1" applyBorder="1" applyAlignment="1">
      <alignment vertical="center"/>
    </xf>
    <xf numFmtId="165" fontId="9" fillId="5" borderId="12" xfId="0" applyNumberFormat="1" applyFont="1" applyFill="1" applyBorder="1" applyAlignment="1">
      <alignment vertical="center"/>
    </xf>
    <xf numFmtId="0" fontId="9" fillId="5" borderId="35" xfId="0" applyFont="1" applyFill="1" applyBorder="1" applyAlignment="1">
      <alignment vertical="center"/>
    </xf>
    <xf numFmtId="0" fontId="9" fillId="5" borderId="12" xfId="0" applyFont="1" applyFill="1" applyBorder="1" applyAlignment="1">
      <alignment vertical="center"/>
    </xf>
    <xf numFmtId="165" fontId="9" fillId="5" borderId="17" xfId="0" applyNumberFormat="1" applyFont="1" applyFill="1" applyBorder="1" applyAlignment="1">
      <alignment vertical="center"/>
    </xf>
    <xf numFmtId="0" fontId="9" fillId="10" borderId="34" xfId="0" applyFont="1" applyFill="1" applyBorder="1" applyAlignment="1">
      <alignment vertical="center"/>
    </xf>
    <xf numFmtId="165" fontId="9" fillId="10" borderId="12" xfId="0" applyNumberFormat="1" applyFont="1" applyFill="1" applyBorder="1" applyAlignment="1">
      <alignment vertical="center"/>
    </xf>
    <xf numFmtId="0" fontId="9" fillId="10" borderId="35" xfId="0" applyFont="1" applyFill="1" applyBorder="1" applyAlignment="1">
      <alignment vertical="center"/>
    </xf>
    <xf numFmtId="0" fontId="9" fillId="10" borderId="12" xfId="0" applyFont="1" applyFill="1" applyBorder="1" applyAlignment="1">
      <alignment vertical="center"/>
    </xf>
    <xf numFmtId="165" fontId="9" fillId="10" borderId="17" xfId="0" applyNumberFormat="1" applyFont="1" applyFill="1" applyBorder="1" applyAlignment="1">
      <alignment vertical="center"/>
    </xf>
    <xf numFmtId="3" fontId="9" fillId="5" borderId="17" xfId="0" applyNumberFormat="1" applyFont="1" applyFill="1" applyBorder="1" applyAlignment="1">
      <alignment vertical="center"/>
    </xf>
    <xf numFmtId="0" fontId="10" fillId="15" borderId="36" xfId="0" applyFont="1" applyFill="1" applyBorder="1" applyAlignment="1">
      <alignment vertical="center"/>
    </xf>
    <xf numFmtId="3" fontId="10" fillId="15" borderId="29" xfId="0" applyNumberFormat="1" applyFont="1" applyFill="1" applyBorder="1" applyAlignment="1">
      <alignment vertical="center"/>
    </xf>
    <xf numFmtId="3" fontId="10" fillId="15" borderId="37" xfId="0" applyNumberFormat="1" applyFont="1" applyFill="1" applyBorder="1" applyAlignment="1">
      <alignment vertical="center"/>
    </xf>
    <xf numFmtId="0" fontId="10" fillId="15" borderId="29" xfId="0" applyFont="1" applyFill="1" applyBorder="1" applyAlignment="1">
      <alignment vertical="center"/>
    </xf>
    <xf numFmtId="3" fontId="10" fillId="15" borderId="38" xfId="0" applyNumberFormat="1" applyFont="1" applyFill="1" applyBorder="1" applyAlignment="1">
      <alignment vertical="center"/>
    </xf>
    <xf numFmtId="0" fontId="8" fillId="5" borderId="47" xfId="0" applyFont="1" applyFill="1" applyBorder="1" applyAlignment="1">
      <alignment horizontal="center" vertical="center"/>
    </xf>
    <xf numFmtId="165" fontId="8" fillId="5" borderId="48" xfId="0" applyNumberFormat="1" applyFont="1" applyFill="1" applyBorder="1" applyAlignment="1">
      <alignment horizontal="center" vertical="center"/>
    </xf>
    <xf numFmtId="0" fontId="8" fillId="0" borderId="14" xfId="0" applyFont="1" applyBorder="1" applyAlignment="1">
      <alignment horizontal="center" vertical="center"/>
    </xf>
    <xf numFmtId="165" fontId="8" fillId="0" borderId="42" xfId="0" applyNumberFormat="1" applyFont="1" applyBorder="1" applyAlignment="1">
      <alignment horizontal="center" vertical="center"/>
    </xf>
    <xf numFmtId="0" fontId="19" fillId="16" borderId="143" xfId="0" applyFont="1" applyFill="1" applyBorder="1" applyAlignment="1">
      <alignment horizontal="center" vertical="center"/>
    </xf>
    <xf numFmtId="167" fontId="19" fillId="16" borderId="20" xfId="0" applyNumberFormat="1" applyFont="1" applyFill="1" applyBorder="1" applyAlignment="1">
      <alignment horizontal="center" vertical="center"/>
    </xf>
    <xf numFmtId="167" fontId="0" fillId="0" borderId="0" xfId="0" applyNumberFormat="1" applyFont="1" applyAlignment="1"/>
    <xf numFmtId="43" fontId="0" fillId="0" borderId="0" xfId="7" applyFont="1" applyAlignment="1"/>
    <xf numFmtId="3" fontId="33" fillId="25" borderId="86" xfId="0" applyNumberFormat="1" applyFont="1" applyFill="1" applyBorder="1" applyAlignment="1"/>
    <xf numFmtId="3" fontId="41" fillId="28" borderId="142" xfId="0" applyNumberFormat="1" applyFont="1" applyFill="1" applyBorder="1" applyAlignment="1">
      <alignment horizontal="right"/>
    </xf>
    <xf numFmtId="3" fontId="40" fillId="25" borderId="155" xfId="0" applyNumberFormat="1" applyFont="1" applyFill="1" applyBorder="1" applyAlignment="1"/>
    <xf numFmtId="3" fontId="33" fillId="28" borderId="142" xfId="0" applyNumberFormat="1" applyFont="1" applyFill="1" applyBorder="1" applyAlignment="1"/>
    <xf numFmtId="3" fontId="40" fillId="25" borderId="156" xfId="0" applyNumberFormat="1" applyFont="1" applyFill="1" applyBorder="1" applyAlignment="1"/>
    <xf numFmtId="3" fontId="41" fillId="25" borderId="86" xfId="0" applyNumberFormat="1" applyFont="1" applyFill="1" applyBorder="1" applyAlignment="1">
      <alignment horizontal="center"/>
    </xf>
    <xf numFmtId="3" fontId="33" fillId="25" borderId="86" xfId="0" applyNumberFormat="1" applyFont="1" applyFill="1" applyBorder="1" applyAlignment="1">
      <alignment horizontal="center"/>
    </xf>
    <xf numFmtId="10" fontId="33" fillId="27" borderId="86" xfId="0" applyNumberFormat="1" applyFont="1" applyFill="1" applyBorder="1" applyAlignment="1">
      <alignment horizontal="center"/>
    </xf>
    <xf numFmtId="9" fontId="33" fillId="25" borderId="142" xfId="0" applyNumberFormat="1" applyFont="1" applyFill="1" applyBorder="1" applyAlignment="1">
      <alignment horizontal="center"/>
    </xf>
    <xf numFmtId="10" fontId="33" fillId="25" borderId="86" xfId="0" applyNumberFormat="1" applyFont="1" applyFill="1" applyBorder="1" applyAlignment="1">
      <alignment horizontal="center"/>
    </xf>
    <xf numFmtId="0" fontId="36" fillId="26" borderId="76" xfId="1" applyFont="1" applyFill="1" applyBorder="1" applyAlignment="1">
      <alignment horizontal="center" vertical="center"/>
    </xf>
    <xf numFmtId="0" fontId="36" fillId="26" borderId="111" xfId="1" applyFont="1" applyFill="1" applyBorder="1" applyAlignment="1">
      <alignment horizontal="center" vertical="center"/>
    </xf>
    <xf numFmtId="2" fontId="66" fillId="45" borderId="108" xfId="1" applyNumberFormat="1" applyFont="1" applyFill="1" applyBorder="1" applyAlignment="1">
      <alignment horizontal="center" vertical="center"/>
    </xf>
    <xf numFmtId="0" fontId="72" fillId="54" borderId="73" xfId="1" applyFont="1" applyFill="1" applyBorder="1" applyAlignment="1">
      <alignment horizontal="center" vertical="center"/>
    </xf>
    <xf numFmtId="10" fontId="67" fillId="54" borderId="75" xfId="1" applyNumberFormat="1" applyFont="1" applyFill="1" applyBorder="1" applyAlignment="1">
      <alignment horizontal="center" vertical="center"/>
    </xf>
    <xf numFmtId="0" fontId="26" fillId="0" borderId="40" xfId="1" applyFont="1" applyAlignment="1">
      <alignment vertical="center"/>
    </xf>
    <xf numFmtId="0" fontId="33" fillId="47" borderId="130" xfId="1" applyFont="1" applyFill="1" applyBorder="1" applyAlignment="1">
      <alignment vertical="center"/>
    </xf>
    <xf numFmtId="0" fontId="34" fillId="47" borderId="71" xfId="1" applyFont="1" applyFill="1" applyBorder="1" applyAlignment="1">
      <alignment horizontal="center" vertical="center"/>
    </xf>
    <xf numFmtId="0" fontId="34" fillId="47" borderId="72" xfId="1" applyFont="1" applyFill="1" applyBorder="1" applyAlignment="1">
      <alignment horizontal="center" vertical="center"/>
    </xf>
    <xf numFmtId="0" fontId="34" fillId="53" borderId="130" xfId="1" applyFont="1" applyFill="1" applyBorder="1" applyAlignment="1">
      <alignment vertical="center"/>
    </xf>
    <xf numFmtId="37" fontId="33" fillId="53" borderId="71" xfId="1" applyNumberFormat="1" applyFont="1" applyFill="1" applyBorder="1" applyAlignment="1">
      <alignment horizontal="center" vertical="center"/>
    </xf>
    <xf numFmtId="0" fontId="34" fillId="53" borderId="101" xfId="1" applyFont="1" applyFill="1" applyBorder="1" applyAlignment="1">
      <alignment vertical="center"/>
    </xf>
    <xf numFmtId="3" fontId="41" fillId="53" borderId="40" xfId="1" applyNumberFormat="1" applyFont="1" applyFill="1" applyBorder="1" applyAlignment="1">
      <alignment horizontal="center" vertical="center"/>
    </xf>
    <xf numFmtId="3" fontId="41" fillId="53" borderId="86" xfId="1" applyNumberFormat="1" applyFont="1" applyFill="1" applyBorder="1" applyAlignment="1">
      <alignment horizontal="center" vertical="center"/>
    </xf>
    <xf numFmtId="0" fontId="34" fillId="53" borderId="107" xfId="1" applyFont="1" applyFill="1" applyBorder="1" applyAlignment="1">
      <alignment vertical="center"/>
    </xf>
    <xf numFmtId="3" fontId="41" fillId="53" borderId="87" xfId="1" applyNumberFormat="1" applyFont="1" applyFill="1" applyBorder="1" applyAlignment="1">
      <alignment horizontal="center" vertical="center"/>
    </xf>
    <xf numFmtId="3" fontId="41" fillId="53" borderId="142" xfId="1" applyNumberFormat="1" applyFont="1" applyFill="1" applyBorder="1" applyAlignment="1">
      <alignment horizontal="center" vertical="center"/>
    </xf>
    <xf numFmtId="0" fontId="40" fillId="32" borderId="131" xfId="1" applyFont="1" applyFill="1" applyBorder="1" applyAlignment="1">
      <alignment vertical="center"/>
    </xf>
    <xf numFmtId="9" fontId="41" fillId="32" borderId="83" xfId="1" applyNumberFormat="1" applyFont="1" applyFill="1" applyBorder="1" applyAlignment="1">
      <alignment horizontal="center" vertical="center"/>
    </xf>
    <xf numFmtId="9" fontId="33" fillId="32" borderId="84" xfId="1" applyNumberFormat="1" applyFont="1" applyFill="1" applyBorder="1" applyAlignment="1">
      <alignment horizontal="center" vertical="center"/>
    </xf>
    <xf numFmtId="0" fontId="40" fillId="32" borderId="101" xfId="1" applyFont="1" applyFill="1" applyBorder="1" applyAlignment="1">
      <alignment vertical="center"/>
    </xf>
    <xf numFmtId="9" fontId="41" fillId="32" borderId="40" xfId="1" applyNumberFormat="1" applyFont="1" applyFill="1" applyBorder="1" applyAlignment="1">
      <alignment horizontal="center" vertical="center"/>
    </xf>
    <xf numFmtId="164" fontId="41" fillId="32" borderId="40" xfId="1" applyNumberFormat="1" applyFont="1" applyFill="1" applyBorder="1" applyAlignment="1">
      <alignment horizontal="center" vertical="center"/>
    </xf>
    <xf numFmtId="9" fontId="33" fillId="32" borderId="86" xfId="1" applyNumberFormat="1" applyFont="1" applyFill="1" applyBorder="1" applyAlignment="1">
      <alignment horizontal="center" vertical="center"/>
    </xf>
    <xf numFmtId="0" fontId="40" fillId="32" borderId="107" xfId="1" applyFont="1" applyFill="1" applyBorder="1" applyAlignment="1">
      <alignment vertical="center"/>
    </xf>
    <xf numFmtId="10" fontId="41" fillId="32" borderId="87" xfId="1" applyNumberFormat="1" applyFont="1" applyFill="1" applyBorder="1" applyAlignment="1">
      <alignment horizontal="center" vertical="center"/>
    </xf>
    <xf numFmtId="0" fontId="35" fillId="46" borderId="101" xfId="1" applyFont="1" applyFill="1" applyBorder="1" applyAlignment="1">
      <alignment vertical="center"/>
    </xf>
    <xf numFmtId="2" fontId="36" fillId="46" borderId="40" xfId="1" applyNumberFormat="1" applyFont="1" applyFill="1" applyBorder="1" applyAlignment="1">
      <alignment horizontal="center" vertical="center"/>
    </xf>
    <xf numFmtId="2" fontId="36" fillId="46" borderId="86" xfId="1" applyNumberFormat="1" applyFont="1" applyFill="1" applyBorder="1" applyAlignment="1">
      <alignment horizontal="center" vertical="center"/>
    </xf>
    <xf numFmtId="0" fontId="35" fillId="46" borderId="102" xfId="1" applyFont="1" applyFill="1" applyBorder="1" applyAlignment="1">
      <alignment vertical="center"/>
    </xf>
    <xf numFmtId="2" fontId="36" fillId="46" borderId="74" xfId="1" applyNumberFormat="1" applyFont="1" applyFill="1" applyBorder="1" applyAlignment="1">
      <alignment horizontal="center" vertical="center"/>
    </xf>
    <xf numFmtId="9" fontId="36" fillId="46" borderId="74" xfId="2" applyFont="1" applyFill="1" applyBorder="1" applyAlignment="1">
      <alignment horizontal="center" vertical="center"/>
    </xf>
    <xf numFmtId="9" fontId="36" fillId="46" borderId="157" xfId="2" applyFont="1" applyFill="1" applyBorder="1" applyAlignment="1">
      <alignment horizontal="center" vertical="center"/>
    </xf>
    <xf numFmtId="0" fontId="26" fillId="36" borderId="40" xfId="1" applyFont="1" applyFill="1" applyAlignment="1">
      <alignment vertical="center"/>
    </xf>
    <xf numFmtId="0" fontId="29" fillId="34" borderId="103" xfId="1" applyFont="1" applyFill="1" applyBorder="1" applyAlignment="1">
      <alignment vertical="center"/>
    </xf>
    <xf numFmtId="10" fontId="67" fillId="35" borderId="132" xfId="1" applyNumberFormat="1" applyFont="1" applyFill="1" applyBorder="1" applyAlignment="1">
      <alignment vertical="center"/>
    </xf>
    <xf numFmtId="0" fontId="40" fillId="45" borderId="40" xfId="1" applyFont="1" applyFill="1" applyBorder="1" applyAlignment="1">
      <alignment horizontal="center" vertical="center"/>
    </xf>
    <xf numFmtId="3" fontId="56" fillId="45" borderId="40" xfId="1" applyNumberFormat="1" applyFont="1" applyFill="1" applyBorder="1" applyAlignment="1">
      <alignment horizontal="center" vertical="center"/>
    </xf>
    <xf numFmtId="0" fontId="33" fillId="0" borderId="40" xfId="1" applyFont="1" applyAlignment="1">
      <alignment vertical="center"/>
    </xf>
    <xf numFmtId="0" fontId="33" fillId="36" borderId="40" xfId="1" applyFont="1" applyFill="1" applyAlignment="1">
      <alignment vertical="center"/>
    </xf>
    <xf numFmtId="43" fontId="26" fillId="0" borderId="40" xfId="1" applyNumberFormat="1" applyFont="1" applyAlignment="1">
      <alignment vertical="center"/>
    </xf>
    <xf numFmtId="0" fontId="21" fillId="11" borderId="40" xfId="1" applyFont="1" applyFill="1" applyAlignment="1">
      <alignment horizontal="center" vertical="center"/>
    </xf>
    <xf numFmtId="0" fontId="57" fillId="0" borderId="40" xfId="1" applyFont="1" applyAlignment="1">
      <alignment vertical="center"/>
    </xf>
    <xf numFmtId="0" fontId="35" fillId="45" borderId="77" xfId="1" applyFont="1" applyFill="1" applyBorder="1" applyAlignment="1">
      <alignment horizontal="center" vertical="center"/>
    </xf>
    <xf numFmtId="3" fontId="49" fillId="53" borderId="108" xfId="1" applyNumberFormat="1" applyFont="1" applyFill="1" applyBorder="1" applyAlignment="1">
      <alignment horizontal="center" vertical="center"/>
    </xf>
    <xf numFmtId="0" fontId="40" fillId="9" borderId="40" xfId="1" applyFont="1" applyFill="1" applyBorder="1" applyAlignment="1">
      <alignment horizontal="center" vertical="center"/>
    </xf>
    <xf numFmtId="0" fontId="40" fillId="9" borderId="40" xfId="1" applyFont="1" applyFill="1" applyAlignment="1">
      <alignment horizontal="center" vertical="center"/>
    </xf>
    <xf numFmtId="0" fontId="33" fillId="25" borderId="130" xfId="0" applyFont="1" applyFill="1" applyBorder="1" applyAlignment="1">
      <alignment horizontal="center" vertical="center"/>
    </xf>
    <xf numFmtId="9" fontId="33" fillId="25" borderId="72" xfId="0" applyNumberFormat="1" applyFont="1" applyFill="1" applyBorder="1" applyAlignment="1">
      <alignment horizontal="center" vertical="center"/>
    </xf>
    <xf numFmtId="0" fontId="33" fillId="28" borderId="107" xfId="0" applyFont="1" applyFill="1" applyBorder="1" applyAlignment="1">
      <alignment horizontal="center" vertical="center"/>
    </xf>
    <xf numFmtId="9" fontId="33" fillId="28" borderId="108" xfId="0" applyNumberFormat="1" applyFont="1" applyFill="1" applyBorder="1" applyAlignment="1">
      <alignment horizontal="center" vertical="center"/>
    </xf>
    <xf numFmtId="10" fontId="27" fillId="41" borderId="75" xfId="0" applyNumberFormat="1" applyFont="1" applyFill="1" applyBorder="1" applyAlignment="1">
      <alignment horizontal="center" vertical="center"/>
    </xf>
    <xf numFmtId="0" fontId="25" fillId="9" borderId="40" xfId="1" applyFont="1" applyFill="1" applyAlignment="1">
      <alignment vertical="center"/>
    </xf>
    <xf numFmtId="0" fontId="10" fillId="0" borderId="48" xfId="0" applyFont="1" applyBorder="1" applyAlignment="1">
      <alignment horizontal="center" vertical="center"/>
    </xf>
    <xf numFmtId="10" fontId="33" fillId="25" borderId="71" xfId="0" applyNumberFormat="1" applyFont="1" applyFill="1" applyBorder="1" applyAlignment="1">
      <alignment horizontal="center" vertical="center"/>
    </xf>
    <xf numFmtId="10" fontId="33" fillId="28" borderId="87" xfId="0" applyNumberFormat="1" applyFont="1" applyFill="1" applyBorder="1" applyAlignment="1">
      <alignment horizontal="center" vertical="center"/>
    </xf>
    <xf numFmtId="16" fontId="0" fillId="21" borderId="55" xfId="0" applyNumberFormat="1" applyFill="1" applyBorder="1" applyAlignment="1">
      <alignment horizontal="center" vertical="center"/>
    </xf>
    <xf numFmtId="0" fontId="63" fillId="43" borderId="85" xfId="0" applyFont="1" applyFill="1" applyBorder="1" applyAlignment="1">
      <alignment horizontal="center" vertical="center"/>
    </xf>
    <xf numFmtId="0" fontId="63" fillId="43" borderId="40" xfId="0" applyFont="1" applyFill="1" applyBorder="1" applyAlignment="1">
      <alignment horizontal="center" vertical="center"/>
    </xf>
    <xf numFmtId="0" fontId="63" fillId="43" borderId="86" xfId="0" applyFont="1" applyFill="1" applyBorder="1" applyAlignment="1">
      <alignment horizontal="center" vertical="center"/>
    </xf>
    <xf numFmtId="0" fontId="0" fillId="21" borderId="55" xfId="0" applyFill="1" applyBorder="1" applyAlignment="1">
      <alignment horizontal="center" vertical="center"/>
    </xf>
    <xf numFmtId="10" fontId="13" fillId="30" borderId="55" xfId="0" applyNumberFormat="1" applyFont="1" applyFill="1" applyBorder="1" applyAlignment="1">
      <alignment horizontal="center" vertical="center"/>
    </xf>
    <xf numFmtId="4" fontId="0" fillId="21" borderId="55" xfId="0" applyNumberFormat="1" applyFill="1" applyBorder="1" applyAlignment="1">
      <alignment horizontal="center" vertical="center"/>
    </xf>
    <xf numFmtId="10" fontId="13" fillId="21" borderId="55" xfId="0" applyNumberFormat="1" applyFont="1" applyFill="1" applyBorder="1" applyAlignment="1">
      <alignment horizontal="center" vertical="center"/>
    </xf>
    <xf numFmtId="0" fontId="63" fillId="65" borderId="85" xfId="0" applyFont="1" applyFill="1" applyBorder="1" applyAlignment="1">
      <alignment horizontal="center" vertical="center"/>
    </xf>
    <xf numFmtId="0" fontId="63" fillId="65" borderId="40" xfId="0" applyFont="1" applyFill="1" applyBorder="1" applyAlignment="1">
      <alignment horizontal="center" vertical="center"/>
    </xf>
    <xf numFmtId="0" fontId="63" fillId="65" borderId="86" xfId="0" applyFont="1" applyFill="1" applyBorder="1" applyAlignment="1">
      <alignment horizontal="center" vertical="center"/>
    </xf>
    <xf numFmtId="0" fontId="33" fillId="30" borderId="135" xfId="0" applyFont="1" applyFill="1" applyBorder="1" applyAlignment="1">
      <alignment horizontal="center" vertical="center"/>
    </xf>
    <xf numFmtId="0" fontId="34" fillId="30" borderId="83" xfId="0" applyFont="1" applyFill="1" applyBorder="1" applyAlignment="1">
      <alignment horizontal="center" vertical="center"/>
    </xf>
    <xf numFmtId="0" fontId="34" fillId="30" borderId="133" xfId="0" applyFont="1" applyFill="1" applyBorder="1" applyAlignment="1">
      <alignment horizontal="center" vertical="center"/>
    </xf>
    <xf numFmtId="0" fontId="33" fillId="38" borderId="136" xfId="0" applyFont="1" applyFill="1" applyBorder="1" applyAlignment="1">
      <alignment horizontal="center" vertical="center"/>
    </xf>
    <xf numFmtId="10" fontId="33" fillId="38" borderId="40" xfId="0" applyNumberFormat="1" applyFont="1" applyFill="1" applyBorder="1" applyAlignment="1">
      <alignment horizontal="center" vertical="center"/>
    </xf>
    <xf numFmtId="10" fontId="33" fillId="38" borderId="122" xfId="0" applyNumberFormat="1" applyFont="1" applyFill="1" applyBorder="1" applyAlignment="1">
      <alignment horizontal="center" vertical="center"/>
    </xf>
    <xf numFmtId="0" fontId="33" fillId="30" borderId="136" xfId="0" applyFont="1" applyFill="1" applyBorder="1" applyAlignment="1">
      <alignment horizontal="center" vertical="center"/>
    </xf>
    <xf numFmtId="10" fontId="33" fillId="30" borderId="40" xfId="0" applyNumberFormat="1" applyFont="1" applyFill="1" applyBorder="1" applyAlignment="1">
      <alignment horizontal="center" vertical="center"/>
    </xf>
    <xf numFmtId="10" fontId="33" fillId="30" borderId="122" xfId="0" applyNumberFormat="1" applyFont="1" applyFill="1" applyBorder="1" applyAlignment="1">
      <alignment horizontal="center" vertical="center"/>
    </xf>
    <xf numFmtId="0" fontId="33" fillId="38" borderId="137" xfId="0" applyFont="1" applyFill="1" applyBorder="1" applyAlignment="1">
      <alignment horizontal="center" vertical="center"/>
    </xf>
    <xf numFmtId="9" fontId="33" fillId="38" borderId="87" xfId="0" applyNumberFormat="1" applyFont="1" applyFill="1" applyBorder="1" applyAlignment="1">
      <alignment horizontal="center" vertical="center"/>
    </xf>
    <xf numFmtId="9" fontId="33" fillId="38" borderId="134" xfId="0" applyNumberFormat="1" applyFont="1" applyFill="1" applyBorder="1" applyAlignment="1">
      <alignment horizontal="center" vertical="center"/>
    </xf>
    <xf numFmtId="0" fontId="82" fillId="51" borderId="88" xfId="5" applyFont="1" applyBorder="1" applyAlignment="1">
      <alignment horizontal="center" vertical="center"/>
    </xf>
    <xf numFmtId="4" fontId="82" fillId="51" borderId="90" xfId="5" applyNumberFormat="1" applyFont="1" applyBorder="1" applyAlignment="1">
      <alignment horizontal="center" vertical="center"/>
    </xf>
    <xf numFmtId="0" fontId="81" fillId="0" borderId="56" xfId="0" applyFont="1" applyBorder="1" applyAlignment="1">
      <alignment horizontal="center" vertical="center"/>
    </xf>
    <xf numFmtId="3" fontId="80" fillId="0" borderId="57" xfId="0" applyNumberFormat="1" applyFont="1" applyBorder="1" applyAlignment="1">
      <alignment horizontal="center" vertical="center"/>
    </xf>
    <xf numFmtId="0" fontId="64" fillId="0" borderId="131" xfId="0" applyFont="1" applyBorder="1" applyAlignment="1">
      <alignment horizontal="center" vertical="center"/>
    </xf>
    <xf numFmtId="0" fontId="54" fillId="28" borderId="83" xfId="0" applyFont="1" applyFill="1" applyBorder="1" applyAlignment="1">
      <alignment horizontal="center" vertical="center"/>
    </xf>
    <xf numFmtId="10" fontId="54" fillId="28" borderId="129" xfId="2" applyNumberFormat="1" applyFont="1" applyFill="1" applyBorder="1" applyAlignment="1">
      <alignment horizontal="center" vertical="center"/>
    </xf>
    <xf numFmtId="0" fontId="78" fillId="59" borderId="58" xfId="6" applyFont="1" applyFill="1" applyBorder="1" applyAlignment="1">
      <alignment horizontal="center" vertical="center"/>
    </xf>
    <xf numFmtId="3" fontId="78" fillId="59" borderId="60" xfId="6" applyNumberFormat="1" applyFont="1" applyFill="1" applyBorder="1" applyAlignment="1">
      <alignment horizontal="center" vertical="center"/>
    </xf>
    <xf numFmtId="0" fontId="54" fillId="56" borderId="101" xfId="0" applyFont="1" applyFill="1" applyBorder="1" applyAlignment="1">
      <alignment horizontal="center" vertical="center"/>
    </xf>
    <xf numFmtId="0" fontId="54" fillId="56" borderId="40" xfId="0" applyFont="1" applyFill="1" applyBorder="1" applyAlignment="1">
      <alignment horizontal="center" vertical="center"/>
    </xf>
    <xf numFmtId="10" fontId="54" fillId="56" borderId="77" xfId="0" applyNumberFormat="1" applyFont="1" applyFill="1" applyBorder="1" applyAlignment="1">
      <alignment horizontal="center" vertical="center"/>
    </xf>
    <xf numFmtId="0" fontId="64" fillId="0" borderId="101" xfId="0" applyFont="1" applyBorder="1" applyAlignment="1">
      <alignment horizontal="center" vertical="center"/>
    </xf>
    <xf numFmtId="0" fontId="54" fillId="28" borderId="40" xfId="0" applyFont="1" applyFill="1" applyBorder="1" applyAlignment="1">
      <alignment horizontal="center" vertical="center"/>
    </xf>
    <xf numFmtId="10" fontId="54" fillId="28" borderId="77" xfId="0" applyNumberFormat="1" applyFont="1" applyFill="1" applyBorder="1" applyAlignment="1">
      <alignment horizontal="center" vertical="center"/>
    </xf>
    <xf numFmtId="3" fontId="82" fillId="51" borderId="90" xfId="5" applyNumberFormat="1" applyFont="1" applyBorder="1" applyAlignment="1">
      <alignment horizontal="center" vertical="center"/>
    </xf>
    <xf numFmtId="0" fontId="64" fillId="0" borderId="107" xfId="0" applyFont="1" applyBorder="1" applyAlignment="1">
      <alignment horizontal="center" vertical="center"/>
    </xf>
    <xf numFmtId="0" fontId="54" fillId="28" borderId="87" xfId="0" applyFont="1" applyFill="1" applyBorder="1" applyAlignment="1">
      <alignment horizontal="center" vertical="center"/>
    </xf>
    <xf numFmtId="10" fontId="54" fillId="28" borderId="108" xfId="0" applyNumberFormat="1" applyFont="1" applyFill="1" applyBorder="1" applyAlignment="1">
      <alignment horizontal="center" vertical="center"/>
    </xf>
    <xf numFmtId="10" fontId="84" fillId="58" borderId="75" xfId="2" applyNumberFormat="1" applyFont="1" applyFill="1" applyBorder="1" applyAlignment="1">
      <alignment horizontal="center" vertical="center"/>
    </xf>
    <xf numFmtId="0" fontId="10" fillId="38" borderId="40" xfId="0" applyFont="1" applyFill="1" applyBorder="1" applyAlignment="1">
      <alignment horizontal="center" vertical="center"/>
    </xf>
    <xf numFmtId="0" fontId="10" fillId="38" borderId="77" xfId="0" applyFont="1" applyFill="1" applyBorder="1" applyAlignment="1">
      <alignment horizontal="center" vertical="center"/>
    </xf>
    <xf numFmtId="10" fontId="5" fillId="59" borderId="110" xfId="2" applyNumberFormat="1" applyFont="1" applyFill="1" applyBorder="1" applyAlignment="1">
      <alignment horizontal="center" vertical="center"/>
    </xf>
    <xf numFmtId="0" fontId="0" fillId="0" borderId="0" xfId="0" applyFont="1" applyAlignment="1">
      <alignment horizontal="center" vertical="center"/>
    </xf>
    <xf numFmtId="0" fontId="8" fillId="9" borderId="0" xfId="0" applyFont="1" applyFill="1" applyAlignment="1">
      <alignment horizontal="center" vertical="center"/>
    </xf>
    <xf numFmtId="0" fontId="45" fillId="0" borderId="0" xfId="0" applyFont="1" applyAlignment="1">
      <alignment horizontal="center" vertical="center"/>
    </xf>
    <xf numFmtId="0" fontId="64" fillId="0" borderId="0" xfId="0" applyFont="1" applyAlignment="1">
      <alignment horizontal="center" vertical="center"/>
    </xf>
    <xf numFmtId="0" fontId="45" fillId="0" borderId="40" xfId="0" applyFont="1" applyBorder="1" applyAlignment="1">
      <alignment horizontal="center" vertical="center"/>
    </xf>
    <xf numFmtId="0" fontId="0" fillId="0" borderId="40" xfId="0" applyFont="1" applyBorder="1" applyAlignment="1">
      <alignment horizontal="center" vertical="center"/>
    </xf>
    <xf numFmtId="0" fontId="10" fillId="38" borderId="101" xfId="0" applyFont="1" applyFill="1" applyBorder="1" applyAlignment="1">
      <alignment horizontal="center" vertical="center"/>
    </xf>
    <xf numFmtId="0" fontId="15" fillId="30" borderId="101" xfId="0" applyFont="1" applyFill="1" applyBorder="1" applyAlignment="1">
      <alignment horizontal="center" vertical="center"/>
    </xf>
    <xf numFmtId="37" fontId="15" fillId="30" borderId="40" xfId="0" applyNumberFormat="1" applyFont="1" applyFill="1" applyBorder="1" applyAlignment="1">
      <alignment horizontal="center" vertical="center"/>
    </xf>
    <xf numFmtId="37" fontId="15" fillId="30" borderId="77" xfId="0" applyNumberFormat="1" applyFont="1" applyFill="1" applyBorder="1" applyAlignment="1">
      <alignment horizontal="center" vertical="center"/>
    </xf>
    <xf numFmtId="0" fontId="15" fillId="38" borderId="101" xfId="0" applyFont="1" applyFill="1" applyBorder="1" applyAlignment="1">
      <alignment horizontal="center" vertical="center"/>
    </xf>
    <xf numFmtId="3" fontId="15" fillId="38" borderId="40" xfId="0" applyNumberFormat="1" applyFont="1" applyFill="1" applyBorder="1" applyAlignment="1">
      <alignment horizontal="center" vertical="center"/>
    </xf>
    <xf numFmtId="3" fontId="15" fillId="38" borderId="77" xfId="0" applyNumberFormat="1" applyFont="1" applyFill="1" applyBorder="1" applyAlignment="1">
      <alignment horizontal="center" vertical="center"/>
    </xf>
    <xf numFmtId="0" fontId="15" fillId="30" borderId="107" xfId="0" applyFont="1" applyFill="1" applyBorder="1" applyAlignment="1">
      <alignment horizontal="center" vertical="center"/>
    </xf>
    <xf numFmtId="10" fontId="15" fillId="30" borderId="87" xfId="0" applyNumberFormat="1" applyFont="1" applyFill="1" applyBorder="1" applyAlignment="1">
      <alignment horizontal="center" vertical="center"/>
    </xf>
    <xf numFmtId="10" fontId="15" fillId="30" borderId="108" xfId="0" applyNumberFormat="1" applyFont="1" applyFill="1" applyBorder="1" applyAlignment="1">
      <alignment horizontal="center" vertical="center"/>
    </xf>
    <xf numFmtId="0" fontId="12" fillId="9" borderId="0" xfId="0" applyFont="1" applyFill="1" applyAlignment="1">
      <alignment horizontal="center" vertical="center"/>
    </xf>
    <xf numFmtId="0" fontId="23" fillId="9" borderId="0" xfId="0" applyFont="1" applyFill="1" applyAlignment="1">
      <alignment horizontal="center" vertical="center"/>
    </xf>
    <xf numFmtId="0" fontId="13" fillId="9" borderId="0" xfId="0" applyFont="1" applyFill="1" applyAlignment="1">
      <alignment horizontal="center" vertical="center"/>
    </xf>
    <xf numFmtId="0" fontId="41" fillId="45" borderId="135" xfId="0" applyFont="1" applyFill="1" applyBorder="1" applyAlignment="1">
      <alignment horizontal="center" vertical="center"/>
    </xf>
    <xf numFmtId="10" fontId="41" fillId="45" borderId="133" xfId="0" applyNumberFormat="1" applyFont="1" applyFill="1" applyBorder="1" applyAlignment="1">
      <alignment horizontal="center" vertical="center"/>
    </xf>
    <xf numFmtId="0" fontId="41" fillId="28" borderId="135" xfId="0" applyFont="1" applyFill="1" applyBorder="1" applyAlignment="1">
      <alignment horizontal="center" vertical="center"/>
    </xf>
    <xf numFmtId="10" fontId="41" fillId="28" borderId="133" xfId="0" applyNumberFormat="1" applyFont="1" applyFill="1" applyBorder="1" applyAlignment="1">
      <alignment horizontal="center" vertical="center"/>
    </xf>
    <xf numFmtId="0" fontId="41" fillId="25" borderId="136" xfId="0" applyFont="1" applyFill="1" applyBorder="1" applyAlignment="1">
      <alignment horizontal="center" vertical="center"/>
    </xf>
    <xf numFmtId="2" fontId="41" fillId="25" borderId="122" xfId="0" applyNumberFormat="1" applyFont="1" applyFill="1" applyBorder="1" applyAlignment="1">
      <alignment horizontal="center" vertical="center"/>
    </xf>
    <xf numFmtId="0" fontId="41" fillId="45" borderId="136" xfId="0" applyFont="1" applyFill="1" applyBorder="1" applyAlignment="1">
      <alignment horizontal="center" vertical="center"/>
    </xf>
    <xf numFmtId="10" fontId="41" fillId="45" borderId="122" xfId="0" applyNumberFormat="1" applyFont="1" applyFill="1" applyBorder="1" applyAlignment="1">
      <alignment horizontal="center" vertical="center"/>
    </xf>
    <xf numFmtId="0" fontId="33" fillId="0" borderId="0" xfId="0" applyFont="1" applyAlignment="1">
      <alignment horizontal="center" vertical="center"/>
    </xf>
    <xf numFmtId="0" fontId="41" fillId="28" borderId="136" xfId="0" applyFont="1" applyFill="1" applyBorder="1" applyAlignment="1">
      <alignment horizontal="center" vertical="center"/>
    </xf>
    <xf numFmtId="10" fontId="41" fillId="28" borderId="122" xfId="0" applyNumberFormat="1" applyFont="1" applyFill="1" applyBorder="1" applyAlignment="1">
      <alignment horizontal="center" vertical="center"/>
    </xf>
    <xf numFmtId="0" fontId="41" fillId="25" borderId="137" xfId="0" applyFont="1" applyFill="1" applyBorder="1" applyAlignment="1">
      <alignment horizontal="center" vertical="center"/>
    </xf>
    <xf numFmtId="10" fontId="41" fillId="25" borderId="134" xfId="0" applyNumberFormat="1" applyFont="1" applyFill="1" applyBorder="1" applyAlignment="1">
      <alignment horizontal="center" vertical="center"/>
    </xf>
    <xf numFmtId="10" fontId="41" fillId="25" borderId="122" xfId="0" applyNumberFormat="1" applyFont="1" applyFill="1" applyBorder="1" applyAlignment="1">
      <alignment horizontal="center" vertical="center"/>
    </xf>
    <xf numFmtId="0" fontId="30" fillId="0" borderId="0" xfId="0" applyFont="1" applyAlignment="1">
      <alignment horizontal="center" vertical="center"/>
    </xf>
    <xf numFmtId="0" fontId="74" fillId="26" borderId="138" xfId="0" applyFont="1" applyFill="1" applyBorder="1" applyAlignment="1">
      <alignment horizontal="center" vertical="center"/>
    </xf>
    <xf numFmtId="10" fontId="74" fillId="26" borderId="123" xfId="0" applyNumberFormat="1" applyFont="1" applyFill="1" applyBorder="1" applyAlignment="1">
      <alignment horizontal="center" vertical="center"/>
    </xf>
    <xf numFmtId="0" fontId="41" fillId="28" borderId="137" xfId="0" applyFont="1" applyFill="1" applyBorder="1" applyAlignment="1">
      <alignment horizontal="center" vertical="center"/>
    </xf>
    <xf numFmtId="10" fontId="41" fillId="28" borderId="134" xfId="0" applyNumberFormat="1" applyFont="1" applyFill="1" applyBorder="1" applyAlignment="1">
      <alignment horizontal="center" vertical="center"/>
    </xf>
    <xf numFmtId="0" fontId="45" fillId="42" borderId="130" xfId="0" applyFont="1" applyFill="1" applyBorder="1" applyAlignment="1">
      <alignment horizontal="center" vertical="center"/>
    </xf>
    <xf numFmtId="2" fontId="8" fillId="42" borderId="72" xfId="0" applyNumberFormat="1" applyFont="1" applyFill="1" applyBorder="1" applyAlignment="1">
      <alignment horizontal="center" vertical="center"/>
    </xf>
    <xf numFmtId="0" fontId="45" fillId="42" borderId="101" xfId="0" applyFont="1" applyFill="1" applyBorder="1" applyAlignment="1">
      <alignment horizontal="center" vertical="center"/>
    </xf>
    <xf numFmtId="2" fontId="8" fillId="42" borderId="77" xfId="0" applyNumberFormat="1" applyFont="1" applyFill="1" applyBorder="1" applyAlignment="1">
      <alignment horizontal="center" vertical="center"/>
    </xf>
    <xf numFmtId="0" fontId="8" fillId="44" borderId="101" xfId="0" applyFont="1" applyFill="1" applyBorder="1" applyAlignment="1">
      <alignment horizontal="center" vertical="center"/>
    </xf>
    <xf numFmtId="2" fontId="8" fillId="44" borderId="77" xfId="0" applyNumberFormat="1" applyFont="1" applyFill="1" applyBorder="1" applyAlignment="1">
      <alignment horizontal="center" vertical="center"/>
    </xf>
    <xf numFmtId="0" fontId="8" fillId="44" borderId="107" xfId="0" applyFont="1" applyFill="1" applyBorder="1" applyAlignment="1">
      <alignment horizontal="center" vertical="center"/>
    </xf>
    <xf numFmtId="0" fontId="8" fillId="44" borderId="108" xfId="0" applyFont="1" applyFill="1" applyBorder="1" applyAlignment="1">
      <alignment horizontal="center" vertical="center"/>
    </xf>
    <xf numFmtId="10" fontId="76" fillId="41" borderId="125" xfId="0" applyNumberFormat="1" applyFont="1" applyFill="1" applyBorder="1" applyAlignment="1">
      <alignment horizontal="center" vertical="center"/>
    </xf>
    <xf numFmtId="0" fontId="65" fillId="31" borderId="102" xfId="0" applyFont="1" applyFill="1" applyBorder="1" applyAlignment="1">
      <alignment horizontal="center" vertical="center"/>
    </xf>
    <xf numFmtId="0" fontId="65" fillId="31" borderId="75" xfId="0" applyFont="1" applyFill="1" applyBorder="1" applyAlignment="1">
      <alignment horizontal="center" vertical="center"/>
    </xf>
    <xf numFmtId="0" fontId="8" fillId="0" borderId="0" xfId="0" applyFont="1" applyAlignment="1">
      <alignment horizontal="center" vertical="center"/>
    </xf>
    <xf numFmtId="0" fontId="22" fillId="9" borderId="0" xfId="0" applyFont="1" applyFill="1" applyAlignment="1">
      <alignment horizontal="center" vertical="center"/>
    </xf>
    <xf numFmtId="2" fontId="8" fillId="0" borderId="0" xfId="0" applyNumberFormat="1" applyFont="1" applyAlignment="1">
      <alignment horizontal="center" vertical="center"/>
    </xf>
    <xf numFmtId="0" fontId="12" fillId="0" borderId="40" xfId="0" applyFont="1" applyFill="1" applyBorder="1" applyAlignment="1">
      <alignment horizontal="center" vertical="center"/>
    </xf>
    <xf numFmtId="0" fontId="63" fillId="0" borderId="40" xfId="0" applyFont="1" applyFill="1" applyBorder="1" applyAlignment="1">
      <alignment horizontal="center" vertical="center"/>
    </xf>
    <xf numFmtId="10" fontId="13" fillId="0" borderId="40" xfId="0" applyNumberFormat="1" applyFont="1" applyFill="1" applyBorder="1" applyAlignment="1">
      <alignment horizontal="center" vertical="center"/>
    </xf>
    <xf numFmtId="4" fontId="13" fillId="0" borderId="0" xfId="0" applyNumberFormat="1" applyFont="1" applyAlignment="1">
      <alignment horizontal="center" vertical="center"/>
    </xf>
    <xf numFmtId="0" fontId="13" fillId="0" borderId="0" xfId="0" applyFont="1" applyAlignment="1">
      <alignment horizontal="center" vertical="center"/>
    </xf>
    <xf numFmtId="10" fontId="13" fillId="0" borderId="0" xfId="0" applyNumberFormat="1" applyFont="1" applyAlignment="1">
      <alignment horizontal="center" vertical="center"/>
    </xf>
    <xf numFmtId="0" fontId="24" fillId="9" borderId="0" xfId="0" applyFont="1" applyFill="1" applyAlignment="1">
      <alignment horizontal="center" vertical="center"/>
    </xf>
    <xf numFmtId="0" fontId="12" fillId="0" borderId="40" xfId="0" applyFont="1" applyBorder="1" applyAlignment="1">
      <alignment horizontal="center" vertical="center"/>
    </xf>
    <xf numFmtId="0" fontId="0" fillId="0" borderId="0" xfId="0" applyFont="1" applyFill="1" applyAlignment="1">
      <alignment horizontal="center" vertical="center"/>
    </xf>
    <xf numFmtId="0" fontId="38" fillId="22" borderId="99" xfId="0" applyFont="1" applyFill="1" applyBorder="1" applyAlignment="1">
      <alignment horizontal="center" vertical="center"/>
    </xf>
    <xf numFmtId="0" fontId="39" fillId="22" borderId="23" xfId="0" applyFont="1" applyFill="1" applyBorder="1" applyAlignment="1">
      <alignment horizontal="center" vertical="center"/>
    </xf>
    <xf numFmtId="0" fontId="39" fillId="22" borderId="22" xfId="0" applyFont="1" applyFill="1" applyBorder="1" applyAlignment="1">
      <alignment horizontal="center" vertical="center"/>
    </xf>
    <xf numFmtId="0" fontId="39" fillId="22" borderId="78" xfId="0" applyFont="1" applyFill="1" applyBorder="1" applyAlignment="1">
      <alignment horizontal="center" vertical="center"/>
    </xf>
    <xf numFmtId="0" fontId="34" fillId="21" borderId="100" xfId="0" applyFont="1" applyFill="1" applyBorder="1" applyAlignment="1">
      <alignment horizontal="center" vertical="center"/>
    </xf>
    <xf numFmtId="0" fontId="33" fillId="21" borderId="35" xfId="0" applyFont="1" applyFill="1" applyBorder="1" applyAlignment="1">
      <alignment horizontal="center" vertical="center"/>
    </xf>
    <xf numFmtId="0" fontId="33" fillId="21" borderId="77" xfId="0" applyFont="1" applyFill="1" applyBorder="1" applyAlignment="1">
      <alignment horizontal="center" vertical="center"/>
    </xf>
    <xf numFmtId="0" fontId="33" fillId="0" borderId="101" xfId="0" applyFont="1" applyFill="1" applyBorder="1" applyAlignment="1">
      <alignment horizontal="center" vertical="center"/>
    </xf>
    <xf numFmtId="37" fontId="33" fillId="0" borderId="35" xfId="0" applyNumberFormat="1" applyFont="1" applyFill="1" applyBorder="1" applyAlignment="1">
      <alignment horizontal="center" vertical="center"/>
    </xf>
    <xf numFmtId="0" fontId="33" fillId="20" borderId="101" xfId="0" applyFont="1" applyFill="1" applyBorder="1" applyAlignment="1">
      <alignment horizontal="center" vertical="center"/>
    </xf>
    <xf numFmtId="37" fontId="33" fillId="20" borderId="35" xfId="0" applyNumberFormat="1" applyFont="1" applyFill="1" applyBorder="1" applyAlignment="1">
      <alignment horizontal="center" vertical="center"/>
    </xf>
    <xf numFmtId="37" fontId="33" fillId="20" borderId="77" xfId="0" applyNumberFormat="1" applyFont="1" applyFill="1" applyBorder="1" applyAlignment="1">
      <alignment horizontal="center" vertical="center"/>
    </xf>
    <xf numFmtId="37" fontId="34" fillId="21" borderId="23" xfId="0" applyNumberFormat="1" applyFont="1" applyFill="1" applyBorder="1" applyAlignment="1">
      <alignment horizontal="center" vertical="center"/>
    </xf>
    <xf numFmtId="37" fontId="33" fillId="21" borderId="35" xfId="0" applyNumberFormat="1" applyFont="1" applyFill="1" applyBorder="1" applyAlignment="1">
      <alignment horizontal="center" vertical="center"/>
    </xf>
    <xf numFmtId="37" fontId="33" fillId="21" borderId="77" xfId="0" applyNumberFormat="1" applyFont="1" applyFill="1" applyBorder="1" applyAlignment="1">
      <alignment horizontal="center" vertical="center"/>
    </xf>
    <xf numFmtId="0" fontId="33" fillId="20" borderId="102" xfId="0" applyFont="1" applyFill="1" applyBorder="1" applyAlignment="1">
      <alignment horizontal="center" vertical="center"/>
    </xf>
    <xf numFmtId="37" fontId="33" fillId="20" borderId="81" xfId="0" applyNumberFormat="1" applyFont="1" applyFill="1" applyBorder="1" applyAlignment="1">
      <alignment horizontal="center" vertical="center"/>
    </xf>
    <xf numFmtId="37" fontId="33" fillId="20" borderId="75" xfId="0" applyNumberFormat="1" applyFont="1" applyFill="1" applyBorder="1" applyAlignment="1">
      <alignment horizontal="center" vertical="center"/>
    </xf>
    <xf numFmtId="0" fontId="13" fillId="0" borderId="0" xfId="0" applyFont="1" applyFill="1" applyAlignment="1">
      <alignment horizontal="center" vertical="center"/>
    </xf>
    <xf numFmtId="0" fontId="60" fillId="40" borderId="106" xfId="0" applyFont="1" applyFill="1" applyBorder="1" applyAlignment="1">
      <alignment horizontal="center" vertical="center"/>
    </xf>
    <xf numFmtId="10" fontId="60" fillId="0" borderId="104" xfId="2" applyNumberFormat="1" applyFont="1" applyBorder="1" applyAlignment="1">
      <alignment horizontal="center" vertical="center"/>
    </xf>
    <xf numFmtId="10" fontId="60" fillId="0" borderId="105" xfId="2" applyNumberFormat="1" applyFont="1" applyBorder="1" applyAlignment="1">
      <alignment horizontal="center" vertical="center"/>
    </xf>
    <xf numFmtId="0" fontId="41" fillId="21" borderId="70" xfId="0" applyFont="1" applyFill="1" applyBorder="1" applyAlignment="1">
      <alignment horizontal="center" vertical="center"/>
    </xf>
    <xf numFmtId="3" fontId="41" fillId="21" borderId="71" xfId="0" applyNumberFormat="1" applyFont="1" applyFill="1" applyBorder="1" applyAlignment="1">
      <alignment horizontal="center" vertical="center"/>
    </xf>
    <xf numFmtId="0" fontId="41" fillId="38" borderId="76" xfId="0" applyFont="1" applyFill="1" applyBorder="1" applyAlignment="1">
      <alignment horizontal="center" vertical="center"/>
    </xf>
    <xf numFmtId="3" fontId="41" fillId="38" borderId="40" xfId="0" applyNumberFormat="1" applyFont="1" applyFill="1" applyBorder="1" applyAlignment="1">
      <alignment horizontal="center" vertical="center"/>
    </xf>
    <xf numFmtId="0" fontId="41" fillId="21" borderId="76" xfId="0" applyFont="1" applyFill="1" applyBorder="1" applyAlignment="1">
      <alignment horizontal="center" vertical="center"/>
    </xf>
    <xf numFmtId="0" fontId="41" fillId="21" borderId="40" xfId="0" applyFont="1" applyFill="1" applyBorder="1" applyAlignment="1">
      <alignment horizontal="center" vertical="center"/>
    </xf>
    <xf numFmtId="0" fontId="41" fillId="38" borderId="40" xfId="0" applyFont="1" applyFill="1" applyBorder="1" applyAlignment="1">
      <alignment horizontal="center" vertical="center"/>
    </xf>
    <xf numFmtId="4" fontId="41" fillId="38" borderId="40" xfId="0" applyNumberFormat="1" applyFont="1" applyFill="1" applyBorder="1" applyAlignment="1">
      <alignment horizontal="center" vertical="center"/>
    </xf>
    <xf numFmtId="4" fontId="41" fillId="38" borderId="77" xfId="0" applyNumberFormat="1" applyFont="1" applyFill="1" applyBorder="1" applyAlignment="1">
      <alignment horizontal="center" vertical="center"/>
    </xf>
    <xf numFmtId="0" fontId="34" fillId="39" borderId="73" xfId="0" applyFont="1" applyFill="1" applyBorder="1" applyAlignment="1">
      <alignment horizontal="center" vertical="center"/>
    </xf>
    <xf numFmtId="10" fontId="40" fillId="39" borderId="74" xfId="0" applyNumberFormat="1" applyFont="1" applyFill="1" applyBorder="1" applyAlignment="1">
      <alignment horizontal="center" vertical="center"/>
    </xf>
    <xf numFmtId="0" fontId="41" fillId="39" borderId="74" xfId="0" applyFont="1" applyFill="1" applyBorder="1" applyAlignment="1">
      <alignment horizontal="center" vertical="center"/>
    </xf>
    <xf numFmtId="0" fontId="41" fillId="39" borderId="75" xfId="0" applyFont="1" applyFill="1" applyBorder="1" applyAlignment="1">
      <alignment horizontal="center" vertical="center"/>
    </xf>
    <xf numFmtId="0" fontId="39" fillId="0" borderId="0" xfId="0" applyFont="1" applyFill="1" applyAlignment="1">
      <alignment horizontal="center" vertical="center"/>
    </xf>
    <xf numFmtId="3" fontId="38" fillId="0" borderId="0" xfId="0" applyNumberFormat="1" applyFont="1" applyFill="1" applyAlignment="1">
      <alignment horizontal="center" vertical="center"/>
    </xf>
    <xf numFmtId="3" fontId="14" fillId="0" borderId="0" xfId="0" applyNumberFormat="1" applyFont="1" applyFill="1" applyAlignment="1">
      <alignment horizontal="center" vertical="center"/>
    </xf>
    <xf numFmtId="0" fontId="33" fillId="21" borderId="94" xfId="0" applyFont="1" applyFill="1" applyBorder="1" applyAlignment="1">
      <alignment horizontal="center" vertical="center"/>
    </xf>
    <xf numFmtId="0" fontId="34" fillId="21" borderId="95" xfId="0" applyFont="1" applyFill="1" applyBorder="1" applyAlignment="1">
      <alignment horizontal="center" vertical="center"/>
    </xf>
    <xf numFmtId="0" fontId="34" fillId="21" borderId="96" xfId="0" applyFont="1" applyFill="1" applyBorder="1" applyAlignment="1">
      <alignment horizontal="center" vertical="center"/>
    </xf>
    <xf numFmtId="0" fontId="34" fillId="38" borderId="80" xfId="0" applyFont="1" applyFill="1" applyBorder="1" applyAlignment="1">
      <alignment horizontal="center" vertical="center"/>
    </xf>
    <xf numFmtId="3" fontId="33" fillId="38" borderId="21" xfId="0" applyNumberFormat="1" applyFont="1" applyFill="1" applyBorder="1" applyAlignment="1">
      <alignment horizontal="center" vertical="center"/>
    </xf>
    <xf numFmtId="3" fontId="33" fillId="38" borderId="79" xfId="0" applyNumberFormat="1" applyFont="1" applyFill="1" applyBorder="1" applyAlignment="1">
      <alignment horizontal="center" vertical="center"/>
    </xf>
    <xf numFmtId="3" fontId="41" fillId="38" borderId="79" xfId="0" applyNumberFormat="1" applyFont="1" applyFill="1" applyBorder="1" applyAlignment="1">
      <alignment horizontal="center" vertical="center"/>
    </xf>
    <xf numFmtId="0" fontId="34" fillId="38" borderId="97" xfId="0" applyFont="1" applyFill="1" applyBorder="1" applyAlignment="1">
      <alignment horizontal="center" vertical="center"/>
    </xf>
    <xf numFmtId="3" fontId="33" fillId="38" borderId="91" xfId="0" applyNumberFormat="1" applyFont="1" applyFill="1" applyBorder="1" applyAlignment="1">
      <alignment horizontal="center" vertical="center"/>
    </xf>
    <xf numFmtId="3" fontId="33" fillId="38" borderId="98" xfId="0" applyNumberFormat="1" applyFont="1" applyFill="1" applyBorder="1" applyAlignment="1">
      <alignment horizontal="center" vertical="center"/>
    </xf>
    <xf numFmtId="0" fontId="30" fillId="0" borderId="0" xfId="0" applyFont="1" applyFill="1" applyAlignment="1">
      <alignment horizontal="center" vertical="center"/>
    </xf>
    <xf numFmtId="0" fontId="31" fillId="0" borderId="0" xfId="0" applyFont="1" applyFill="1" applyAlignment="1">
      <alignment horizontal="center" vertical="center"/>
    </xf>
    <xf numFmtId="0" fontId="33" fillId="21" borderId="88" xfId="0" applyFont="1" applyFill="1" applyBorder="1" applyAlignment="1">
      <alignment horizontal="center" vertical="center"/>
    </xf>
    <xf numFmtId="3" fontId="33" fillId="21" borderId="90" xfId="0" applyNumberFormat="1" applyFont="1" applyFill="1" applyBorder="1" applyAlignment="1">
      <alignment horizontal="center" vertical="center"/>
    </xf>
    <xf numFmtId="0" fontId="33" fillId="21" borderId="70" xfId="0" applyFont="1" applyFill="1" applyBorder="1" applyAlignment="1">
      <alignment horizontal="center" vertical="center"/>
    </xf>
    <xf numFmtId="10" fontId="33" fillId="21" borderId="72" xfId="0" applyNumberFormat="1" applyFont="1" applyFill="1" applyBorder="1" applyAlignment="1">
      <alignment horizontal="center" vertical="center"/>
    </xf>
    <xf numFmtId="0" fontId="33" fillId="0" borderId="56" xfId="0" applyFont="1" applyBorder="1" applyAlignment="1">
      <alignment horizontal="center" vertical="center"/>
    </xf>
    <xf numFmtId="0" fontId="33" fillId="0" borderId="57" xfId="0" applyFont="1" applyBorder="1" applyAlignment="1">
      <alignment horizontal="center" vertical="center"/>
    </xf>
    <xf numFmtId="0" fontId="33" fillId="0" borderId="76" xfId="0" applyFont="1" applyFill="1" applyBorder="1" applyAlignment="1">
      <alignment horizontal="center" vertical="center"/>
    </xf>
    <xf numFmtId="10" fontId="33" fillId="0" borderId="77" xfId="0" applyNumberFormat="1" applyFont="1" applyFill="1" applyBorder="1" applyAlignment="1">
      <alignment horizontal="center" vertical="center"/>
    </xf>
    <xf numFmtId="0" fontId="19" fillId="16" borderId="112" xfId="0" applyFont="1" applyFill="1" applyBorder="1" applyAlignment="1">
      <alignment horizontal="center" vertical="center"/>
    </xf>
    <xf numFmtId="167" fontId="19" fillId="16" borderId="110" xfId="0" applyNumberFormat="1" applyFont="1" applyFill="1" applyBorder="1" applyAlignment="1">
      <alignment horizontal="center" vertical="center"/>
    </xf>
    <xf numFmtId="0" fontId="33" fillId="21" borderId="76" xfId="0" applyFont="1" applyFill="1" applyBorder="1" applyAlignment="1">
      <alignment horizontal="center" vertical="center"/>
    </xf>
    <xf numFmtId="3" fontId="33" fillId="21" borderId="77" xfId="0" applyNumberFormat="1" applyFont="1" applyFill="1" applyBorder="1" applyAlignment="1">
      <alignment horizontal="center" vertical="center"/>
    </xf>
    <xf numFmtId="0" fontId="33" fillId="0" borderId="73" xfId="0" applyFont="1" applyFill="1" applyBorder="1" applyAlignment="1">
      <alignment horizontal="center" vertical="center"/>
    </xf>
    <xf numFmtId="10" fontId="33" fillId="0" borderId="75" xfId="2" applyNumberFormat="1" applyFont="1" applyFill="1" applyBorder="1" applyAlignment="1">
      <alignment horizontal="center" vertical="center"/>
    </xf>
    <xf numFmtId="37" fontId="33" fillId="0" borderId="101" xfId="0" applyNumberFormat="1" applyFont="1" applyFill="1" applyBorder="1" applyAlignment="1">
      <alignment horizontal="center" vertical="center"/>
    </xf>
    <xf numFmtId="10" fontId="60" fillId="21" borderId="104" xfId="2" applyNumberFormat="1" applyFont="1" applyFill="1" applyBorder="1" applyAlignment="1">
      <alignment horizontal="center" vertical="center"/>
    </xf>
    <xf numFmtId="0" fontId="40" fillId="38" borderId="76" xfId="0" applyFont="1" applyFill="1" applyBorder="1" applyAlignment="1">
      <alignment horizontal="center" vertical="center"/>
    </xf>
    <xf numFmtId="10" fontId="41" fillId="21" borderId="40" xfId="0" applyNumberFormat="1" applyFont="1" applyFill="1" applyBorder="1" applyAlignment="1">
      <alignment horizontal="center" vertical="center"/>
    </xf>
    <xf numFmtId="2" fontId="88" fillId="29" borderId="77" xfId="1" applyNumberFormat="1" applyFont="1" applyFill="1" applyBorder="1" applyAlignment="1">
      <alignment horizontal="center"/>
    </xf>
    <xf numFmtId="0" fontId="68" fillId="0" borderId="40" xfId="4" applyFont="1" applyBorder="1" applyAlignment="1">
      <alignment horizontal="center" vertical="center"/>
    </xf>
    <xf numFmtId="0" fontId="27" fillId="2" borderId="1" xfId="0" applyFont="1" applyFill="1" applyBorder="1" applyAlignment="1">
      <alignment horizontal="center" vertical="center"/>
    </xf>
    <xf numFmtId="0" fontId="28" fillId="0" borderId="2" xfId="0" applyFont="1" applyBorder="1" applyAlignment="1">
      <alignment vertical="center"/>
    </xf>
    <xf numFmtId="0" fontId="28" fillId="0" borderId="3" xfId="0" applyFont="1" applyBorder="1" applyAlignment="1">
      <alignment vertical="center"/>
    </xf>
    <xf numFmtId="0" fontId="29" fillId="3" borderId="1" xfId="0" applyFont="1" applyFill="1" applyBorder="1" applyAlignment="1">
      <alignment horizontal="center" vertical="center"/>
    </xf>
    <xf numFmtId="0" fontId="27" fillId="2" borderId="1" xfId="0" applyFont="1" applyFill="1" applyBorder="1" applyAlignment="1">
      <alignment horizontal="center"/>
    </xf>
    <xf numFmtId="0" fontId="28" fillId="0" borderId="2" xfId="0" applyFont="1" applyBorder="1"/>
    <xf numFmtId="0" fontId="28" fillId="0" borderId="3" xfId="0" applyFont="1" applyBorder="1"/>
    <xf numFmtId="0" fontId="29" fillId="3" borderId="61" xfId="0" applyFont="1" applyFill="1" applyBorder="1" applyAlignment="1">
      <alignment horizontal="center" vertical="center"/>
    </xf>
    <xf numFmtId="0" fontId="29" fillId="3" borderId="62" xfId="0" applyFont="1" applyFill="1" applyBorder="1" applyAlignment="1">
      <alignment horizontal="center" vertical="center"/>
    </xf>
    <xf numFmtId="0" fontId="29" fillId="3" borderId="63" xfId="0" applyFont="1" applyFill="1" applyBorder="1" applyAlignment="1">
      <alignment horizontal="center" vertical="center"/>
    </xf>
    <xf numFmtId="0" fontId="29" fillId="3" borderId="144" xfId="1" applyFont="1" applyFill="1" applyBorder="1" applyAlignment="1">
      <alignment horizontal="center" vertical="center"/>
    </xf>
    <xf numFmtId="0" fontId="29" fillId="3" borderId="53" xfId="1" applyFont="1" applyFill="1" applyBorder="1" applyAlignment="1">
      <alignment horizontal="center" vertical="center"/>
    </xf>
    <xf numFmtId="0" fontId="29" fillId="3" borderId="145" xfId="1" applyFont="1" applyFill="1" applyBorder="1" applyAlignment="1">
      <alignment horizontal="center" vertical="center"/>
    </xf>
    <xf numFmtId="0" fontId="3" fillId="13" borderId="24" xfId="0" applyFont="1" applyFill="1" applyBorder="1" applyAlignment="1">
      <alignment horizontal="center" vertical="center"/>
    </xf>
    <xf numFmtId="0" fontId="4" fillId="0" borderId="25" xfId="0" applyFont="1" applyBorder="1" applyAlignment="1">
      <alignment vertical="center"/>
    </xf>
    <xf numFmtId="0" fontId="4" fillId="0" borderId="26" xfId="0" applyFont="1" applyBorder="1" applyAlignment="1">
      <alignment vertical="center"/>
    </xf>
    <xf numFmtId="0" fontId="27" fillId="2" borderId="52" xfId="0" applyFont="1" applyFill="1" applyBorder="1" applyAlignment="1">
      <alignment horizontal="center" vertical="center"/>
    </xf>
    <xf numFmtId="0" fontId="27" fillId="2" borderId="53" xfId="0" applyFont="1" applyFill="1" applyBorder="1" applyAlignment="1">
      <alignment horizontal="center" vertical="center"/>
    </xf>
    <xf numFmtId="0" fontId="17" fillId="3" borderId="1" xfId="0" applyFont="1" applyFill="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17" fillId="14" borderId="1" xfId="0" applyFont="1" applyFill="1" applyBorder="1" applyAlignment="1">
      <alignment horizontal="center" vertical="center"/>
    </xf>
    <xf numFmtId="0" fontId="42" fillId="13" borderId="24" xfId="0" applyFont="1" applyFill="1" applyBorder="1" applyAlignment="1">
      <alignment horizontal="center"/>
    </xf>
    <xf numFmtId="0" fontId="43" fillId="0" borderId="25" xfId="0" applyFont="1" applyBorder="1"/>
    <xf numFmtId="0" fontId="43" fillId="0" borderId="26" xfId="0" applyFont="1" applyBorder="1"/>
    <xf numFmtId="0" fontId="42" fillId="13" borderId="39" xfId="0" applyFont="1" applyFill="1" applyBorder="1" applyAlignment="1">
      <alignment horizontal="center"/>
    </xf>
    <xf numFmtId="0" fontId="43" fillId="0" borderId="40" xfId="0" applyFont="1" applyBorder="1"/>
    <xf numFmtId="0" fontId="43" fillId="0" borderId="41" xfId="0" applyFont="1" applyBorder="1"/>
    <xf numFmtId="9" fontId="61" fillId="41" borderId="109" xfId="0" applyNumberFormat="1" applyFont="1" applyFill="1" applyBorder="1" applyAlignment="1">
      <alignment horizontal="center"/>
    </xf>
    <xf numFmtId="9" fontId="61" fillId="41" borderId="156" xfId="0" applyNumberFormat="1" applyFont="1" applyFill="1" applyBorder="1" applyAlignment="1">
      <alignment horizontal="center"/>
    </xf>
    <xf numFmtId="0" fontId="61" fillId="41" borderId="112" xfId="0" applyFont="1" applyFill="1" applyBorder="1" applyAlignment="1">
      <alignment horizontal="center"/>
    </xf>
    <xf numFmtId="0" fontId="61" fillId="41" borderId="109" xfId="0" applyFont="1" applyFill="1" applyBorder="1" applyAlignment="1">
      <alignment horizontal="center"/>
    </xf>
    <xf numFmtId="9" fontId="61" fillId="41" borderId="110" xfId="0" applyNumberFormat="1" applyFont="1" applyFill="1" applyBorder="1" applyAlignment="1">
      <alignment horizontal="center"/>
    </xf>
    <xf numFmtId="0" fontId="29" fillId="23" borderId="70" xfId="0" applyFont="1" applyFill="1" applyBorder="1" applyAlignment="1">
      <alignment horizontal="center"/>
    </xf>
    <xf numFmtId="0" fontId="29" fillId="23" borderId="71" xfId="0" applyFont="1" applyFill="1" applyBorder="1" applyAlignment="1">
      <alignment horizontal="center"/>
    </xf>
    <xf numFmtId="0" fontId="29" fillId="23" borderId="72" xfId="0" applyFont="1" applyFill="1" applyBorder="1" applyAlignment="1">
      <alignment horizontal="center"/>
    </xf>
    <xf numFmtId="0" fontId="29" fillId="23" borderId="76" xfId="0" applyFont="1" applyFill="1" applyBorder="1" applyAlignment="1">
      <alignment horizontal="center"/>
    </xf>
    <xf numFmtId="0" fontId="29" fillId="23" borderId="40" xfId="0" applyFont="1" applyFill="1" applyBorder="1" applyAlignment="1">
      <alignment horizontal="center"/>
    </xf>
    <xf numFmtId="0" fontId="29" fillId="23" borderId="77" xfId="0" applyFont="1" applyFill="1" applyBorder="1" applyAlignment="1">
      <alignment horizontal="center"/>
    </xf>
    <xf numFmtId="0" fontId="71" fillId="37" borderId="103" xfId="1" applyFont="1" applyFill="1" applyBorder="1" applyAlignment="1">
      <alignment horizontal="center" vertical="center"/>
    </xf>
    <xf numFmtId="0" fontId="71" fillId="37" borderId="104" xfId="1" applyFont="1" applyFill="1" applyBorder="1" applyAlignment="1">
      <alignment horizontal="center" vertical="center"/>
    </xf>
    <xf numFmtId="0" fontId="71" fillId="37" borderId="105" xfId="1" applyFont="1" applyFill="1" applyBorder="1" applyAlignment="1">
      <alignment horizontal="center" vertical="center"/>
    </xf>
    <xf numFmtId="0" fontId="61" fillId="37" borderId="70" xfId="1" applyFont="1" applyFill="1" applyBorder="1" applyAlignment="1">
      <alignment horizontal="center" vertical="center"/>
    </xf>
    <xf numFmtId="0" fontId="61" fillId="37" borderId="72" xfId="1" applyFont="1" applyFill="1" applyBorder="1" applyAlignment="1">
      <alignment horizontal="center" vertical="center"/>
    </xf>
    <xf numFmtId="0" fontId="27" fillId="41" borderId="73" xfId="0" applyFont="1" applyFill="1" applyBorder="1" applyAlignment="1">
      <alignment horizontal="center" vertical="center"/>
    </xf>
    <xf numFmtId="0" fontId="27" fillId="41" borderId="74" xfId="0" applyFont="1" applyFill="1" applyBorder="1" applyAlignment="1">
      <alignment horizontal="center" vertical="center"/>
    </xf>
    <xf numFmtId="0" fontId="29" fillId="31" borderId="126" xfId="0" applyFont="1" applyFill="1" applyBorder="1" applyAlignment="1">
      <alignment horizontal="center" vertical="center"/>
    </xf>
    <xf numFmtId="0" fontId="29" fillId="31" borderId="127" xfId="0" applyFont="1" applyFill="1" applyBorder="1" applyAlignment="1">
      <alignment horizontal="center" vertical="center"/>
    </xf>
    <xf numFmtId="0" fontId="29" fillId="31" borderId="128" xfId="0" applyFont="1" applyFill="1" applyBorder="1" applyAlignment="1">
      <alignment horizontal="center" vertical="center"/>
    </xf>
    <xf numFmtId="0" fontId="35" fillId="55" borderId="139" xfId="0" applyFont="1" applyFill="1" applyBorder="1" applyAlignment="1">
      <alignment horizontal="center" vertical="center"/>
    </xf>
    <xf numFmtId="0" fontId="35" fillId="55" borderId="140" xfId="0" applyFont="1" applyFill="1" applyBorder="1" applyAlignment="1">
      <alignment horizontal="center" vertical="center"/>
    </xf>
    <xf numFmtId="168" fontId="35" fillId="55" borderId="140" xfId="0" applyNumberFormat="1" applyFont="1" applyFill="1" applyBorder="1" applyAlignment="1">
      <alignment horizontal="center" vertical="center"/>
    </xf>
    <xf numFmtId="168" fontId="35" fillId="55" borderId="141" xfId="0" applyNumberFormat="1" applyFont="1" applyFill="1" applyBorder="1" applyAlignment="1">
      <alignment horizontal="center" vertical="center"/>
    </xf>
    <xf numFmtId="0" fontId="61" fillId="48" borderId="126" xfId="0" applyFont="1" applyFill="1" applyBorder="1" applyAlignment="1">
      <alignment horizontal="center" vertical="center"/>
    </xf>
    <xf numFmtId="0" fontId="61" fillId="48" borderId="128" xfId="0" applyFont="1" applyFill="1" applyBorder="1" applyAlignment="1">
      <alignment horizontal="center" vertical="center"/>
    </xf>
    <xf numFmtId="0" fontId="17" fillId="31" borderId="82" xfId="0" applyFont="1" applyFill="1" applyBorder="1" applyAlignment="1">
      <alignment horizontal="center" vertical="center"/>
    </xf>
    <xf numFmtId="0" fontId="17" fillId="31" borderId="83" xfId="0" applyFont="1" applyFill="1" applyBorder="1" applyAlignment="1">
      <alignment horizontal="center" vertical="center"/>
    </xf>
    <xf numFmtId="0" fontId="17" fillId="31" borderId="84" xfId="0" applyFont="1" applyFill="1" applyBorder="1" applyAlignment="1">
      <alignment horizontal="center" vertical="center"/>
    </xf>
    <xf numFmtId="0" fontId="75" fillId="41" borderId="121" xfId="0" applyFont="1" applyFill="1" applyBorder="1" applyAlignment="1">
      <alignment horizontal="center" vertical="center"/>
    </xf>
    <xf numFmtId="0" fontId="75" fillId="41" borderId="124" xfId="0" applyFont="1" applyFill="1" applyBorder="1" applyAlignment="1">
      <alignment horizontal="center" vertical="center"/>
    </xf>
    <xf numFmtId="0" fontId="55" fillId="48" borderId="64" xfId="0" applyFont="1" applyFill="1" applyBorder="1" applyAlignment="1">
      <alignment horizontal="center" vertical="center"/>
    </xf>
    <xf numFmtId="0" fontId="55" fillId="48" borderId="65" xfId="0" applyFont="1" applyFill="1" applyBorder="1" applyAlignment="1">
      <alignment horizontal="center" vertical="center"/>
    </xf>
    <xf numFmtId="0" fontId="55" fillId="48" borderId="66" xfId="0" applyFont="1" applyFill="1" applyBorder="1" applyAlignment="1">
      <alignment horizontal="center" vertical="center"/>
    </xf>
    <xf numFmtId="0" fontId="83" fillId="57" borderId="112" xfId="0" applyFont="1" applyFill="1" applyBorder="1" applyAlignment="1">
      <alignment horizontal="center" vertical="center"/>
    </xf>
    <xf numFmtId="0" fontId="83" fillId="57" borderId="109" xfId="0" applyFont="1" applyFill="1" applyBorder="1" applyAlignment="1">
      <alignment horizontal="center" vertical="center"/>
    </xf>
    <xf numFmtId="0" fontId="78" fillId="60" borderId="64" xfId="6" applyFont="1" applyFill="1" applyBorder="1" applyAlignment="1">
      <alignment horizontal="center" vertical="center"/>
    </xf>
    <xf numFmtId="0" fontId="78" fillId="60" borderId="65" xfId="6" applyFont="1" applyFill="1" applyBorder="1" applyAlignment="1">
      <alignment horizontal="center" vertical="center"/>
    </xf>
    <xf numFmtId="0" fontId="78" fillId="60" borderId="66" xfId="6" applyFont="1" applyFill="1" applyBorder="1" applyAlignment="1">
      <alignment horizontal="center" vertical="center"/>
    </xf>
    <xf numFmtId="0" fontId="5" fillId="59" borderId="112" xfId="0" applyFont="1" applyFill="1" applyBorder="1" applyAlignment="1">
      <alignment horizontal="center" vertical="center"/>
    </xf>
    <xf numFmtId="0" fontId="5" fillId="59" borderId="109" xfId="0" applyFont="1" applyFill="1" applyBorder="1" applyAlignment="1">
      <alignment horizontal="center" vertical="center"/>
    </xf>
    <xf numFmtId="0" fontId="77" fillId="60" borderId="64" xfId="0" applyFont="1" applyFill="1" applyBorder="1" applyAlignment="1">
      <alignment horizontal="center" vertical="center"/>
    </xf>
    <xf numFmtId="0" fontId="77" fillId="60" borderId="65" xfId="0" applyFont="1" applyFill="1" applyBorder="1" applyAlignment="1">
      <alignment horizontal="center" vertical="center"/>
    </xf>
    <xf numFmtId="0" fontId="77" fillId="60" borderId="66" xfId="0" applyFont="1" applyFill="1" applyBorder="1" applyAlignment="1">
      <alignment horizontal="center" vertical="center"/>
    </xf>
    <xf numFmtId="10" fontId="5" fillId="59" borderId="109" xfId="0" applyNumberFormat="1" applyFont="1" applyFill="1" applyBorder="1" applyAlignment="1">
      <alignment horizontal="center" vertical="center"/>
    </xf>
    <xf numFmtId="10" fontId="5" fillId="59" borderId="110" xfId="0" applyNumberFormat="1" applyFont="1" applyFill="1" applyBorder="1" applyAlignment="1">
      <alignment horizontal="center" vertical="center"/>
    </xf>
    <xf numFmtId="0" fontId="27" fillId="2" borderId="73" xfId="0" applyFont="1" applyFill="1" applyBorder="1" applyAlignment="1">
      <alignment horizontal="center" vertical="center"/>
    </xf>
    <xf numFmtId="0" fontId="27" fillId="2" borderId="74" xfId="0" applyFont="1" applyFill="1" applyBorder="1" applyAlignment="1">
      <alignment horizontal="center" vertical="center"/>
    </xf>
    <xf numFmtId="0" fontId="27" fillId="37" borderId="92" xfId="0" applyFont="1" applyFill="1" applyBorder="1" applyAlignment="1">
      <alignment horizontal="center" vertical="center"/>
    </xf>
    <xf numFmtId="0" fontId="27" fillId="37" borderId="93" xfId="0" applyFont="1" applyFill="1" applyBorder="1" applyAlignment="1">
      <alignment horizontal="center" vertical="center"/>
    </xf>
    <xf numFmtId="9" fontId="5" fillId="3" borderId="61" xfId="2" applyFont="1" applyFill="1" applyBorder="1" applyAlignment="1">
      <alignment horizontal="center" vertical="center"/>
    </xf>
    <xf numFmtId="9" fontId="5" fillId="3" borderId="62" xfId="2" applyFont="1" applyFill="1" applyBorder="1" applyAlignment="1">
      <alignment horizontal="center" vertical="center"/>
    </xf>
    <xf numFmtId="9" fontId="5" fillId="3" borderId="63" xfId="2" applyFont="1" applyFill="1" applyBorder="1" applyAlignment="1">
      <alignment horizontal="center" vertical="center"/>
    </xf>
    <xf numFmtId="0" fontId="88" fillId="29" borderId="76" xfId="1" applyFont="1" applyFill="1" applyBorder="1" applyAlignment="1">
      <alignment horizontal="center"/>
    </xf>
    <xf numFmtId="0" fontId="88" fillId="29" borderId="86" xfId="1" applyFont="1" applyFill="1" applyBorder="1" applyAlignment="1">
      <alignment horizontal="center"/>
    </xf>
    <xf numFmtId="0" fontId="88" fillId="29" borderId="111" xfId="1" applyFont="1" applyFill="1" applyBorder="1" applyAlignment="1">
      <alignment horizontal="center"/>
    </xf>
    <xf numFmtId="0" fontId="88" fillId="29" borderId="142" xfId="1" applyFont="1" applyFill="1" applyBorder="1" applyAlignment="1">
      <alignment horizontal="center"/>
    </xf>
    <xf numFmtId="0" fontId="89" fillId="37" borderId="73" xfId="1" applyFont="1" applyFill="1" applyBorder="1" applyAlignment="1">
      <alignment horizontal="center"/>
    </xf>
    <xf numFmtId="0" fontId="89" fillId="37" borderId="74" xfId="1" applyFont="1" applyFill="1" applyBorder="1" applyAlignment="1">
      <alignment horizontal="center"/>
    </xf>
    <xf numFmtId="0" fontId="88" fillId="29" borderId="70" xfId="1" applyFont="1" applyFill="1" applyBorder="1" applyAlignment="1">
      <alignment horizontal="center"/>
    </xf>
    <xf numFmtId="0" fontId="88" fillId="29" borderId="72" xfId="1" applyFont="1" applyFill="1" applyBorder="1" applyAlignment="1">
      <alignment horizontal="center"/>
    </xf>
    <xf numFmtId="0" fontId="79" fillId="29" borderId="64" xfId="1" applyFont="1" applyFill="1" applyBorder="1" applyAlignment="1">
      <alignment horizontal="center"/>
    </xf>
    <xf numFmtId="0" fontId="79" fillId="29" borderId="65" xfId="1" applyFont="1" applyFill="1" applyBorder="1" applyAlignment="1">
      <alignment horizontal="center"/>
    </xf>
    <xf numFmtId="0" fontId="79" fillId="29" borderId="66" xfId="1" applyFont="1" applyFill="1" applyBorder="1" applyAlignment="1">
      <alignment horizontal="center"/>
    </xf>
    <xf numFmtId="37" fontId="33" fillId="18" borderId="0" xfId="0" applyNumberFormat="1" applyFont="1" applyFill="1"/>
    <xf numFmtId="9" fontId="3" fillId="2" borderId="64" xfId="2" applyFont="1" applyFill="1" applyBorder="1" applyAlignment="1">
      <alignment horizontal="center" vertical="center"/>
    </xf>
    <xf numFmtId="9" fontId="3" fillId="2" borderId="65" xfId="2" applyFont="1" applyFill="1" applyBorder="1" applyAlignment="1">
      <alignment horizontal="center" vertical="center"/>
    </xf>
    <xf numFmtId="9" fontId="3" fillId="2" borderId="66" xfId="2" applyFont="1" applyFill="1" applyBorder="1" applyAlignment="1">
      <alignment horizontal="center" vertical="center"/>
    </xf>
    <xf numFmtId="9" fontId="3" fillId="2" borderId="67" xfId="2" applyFont="1" applyFill="1" applyBorder="1" applyAlignment="1">
      <alignment horizontal="center" vertical="center"/>
    </xf>
    <xf numFmtId="9" fontId="9" fillId="33" borderId="68" xfId="2" applyFont="1" applyFill="1" applyBorder="1" applyAlignment="1">
      <alignment horizontal="center" vertical="center"/>
    </xf>
    <xf numFmtId="10" fontId="8" fillId="0" borderId="55" xfId="2" applyNumberFormat="1" applyFont="1" applyFill="1" applyBorder="1" applyAlignment="1">
      <alignment horizontal="center" vertical="center"/>
    </xf>
    <xf numFmtId="10" fontId="8" fillId="18" borderId="55" xfId="2" applyNumberFormat="1" applyFont="1" applyFill="1" applyBorder="1" applyAlignment="1">
      <alignment horizontal="center" vertical="center"/>
    </xf>
    <xf numFmtId="10" fontId="8" fillId="38" borderId="55" xfId="2" applyNumberFormat="1" applyFont="1" applyFill="1" applyBorder="1" applyAlignment="1">
      <alignment horizontal="center" vertical="center"/>
    </xf>
    <xf numFmtId="10" fontId="9" fillId="33" borderId="68" xfId="2" applyNumberFormat="1" applyFont="1" applyFill="1" applyBorder="1" applyAlignment="1">
      <alignment horizontal="center" vertical="center"/>
    </xf>
    <xf numFmtId="10" fontId="9" fillId="33" borderId="68" xfId="2" applyNumberFormat="1" applyFont="1" applyFill="1" applyBorder="1" applyAlignment="1">
      <alignment horizontal="center" vertical="center" wrapText="1"/>
    </xf>
    <xf numFmtId="10" fontId="8" fillId="0" borderId="59" xfId="2" applyNumberFormat="1" applyFont="1" applyFill="1" applyBorder="1" applyAlignment="1">
      <alignment horizontal="center" vertical="center"/>
    </xf>
    <xf numFmtId="10" fontId="8" fillId="18" borderId="59" xfId="2" applyNumberFormat="1" applyFont="1" applyFill="1" applyBorder="1" applyAlignment="1">
      <alignment horizontal="center" vertical="center"/>
    </xf>
    <xf numFmtId="10" fontId="9" fillId="33" borderId="69" xfId="2" applyNumberFormat="1" applyFont="1" applyFill="1" applyBorder="1" applyAlignment="1">
      <alignment horizontal="center" vertical="center"/>
    </xf>
    <xf numFmtId="0" fontId="31" fillId="19" borderId="70" xfId="0" applyFont="1" applyFill="1" applyBorder="1" applyAlignment="1">
      <alignment horizontal="center" vertical="center"/>
    </xf>
    <xf numFmtId="0" fontId="31" fillId="19" borderId="71" xfId="0" applyFont="1" applyFill="1" applyBorder="1" applyAlignment="1">
      <alignment horizontal="center" vertical="center"/>
    </xf>
    <xf numFmtId="0" fontId="31" fillId="19" borderId="72" xfId="0" applyFont="1" applyFill="1" applyBorder="1" applyAlignment="1">
      <alignment horizontal="center" vertical="center"/>
    </xf>
    <xf numFmtId="0" fontId="27" fillId="2" borderId="64" xfId="0" applyFont="1" applyFill="1" applyBorder="1" applyAlignment="1">
      <alignment horizontal="center" vertical="center"/>
    </xf>
    <xf numFmtId="0" fontId="27" fillId="2" borderId="65" xfId="0" applyFont="1" applyFill="1" applyBorder="1" applyAlignment="1">
      <alignment horizontal="center" vertical="center"/>
    </xf>
    <xf numFmtId="0" fontId="27" fillId="2" borderId="66" xfId="0" applyFont="1" applyFill="1" applyBorder="1" applyAlignment="1">
      <alignment horizontal="center" vertical="center"/>
    </xf>
    <xf numFmtId="37" fontId="33" fillId="0" borderId="55" xfId="0" applyNumberFormat="1" applyFont="1" applyBorder="1" applyAlignment="1">
      <alignment horizontal="center" vertical="center"/>
    </xf>
    <xf numFmtId="37" fontId="33" fillId="18" borderId="55" xfId="0" applyNumberFormat="1" applyFont="1" applyFill="1" applyBorder="1" applyAlignment="1">
      <alignment horizontal="center" vertical="center"/>
    </xf>
    <xf numFmtId="37" fontId="34" fillId="21" borderId="55" xfId="0" applyNumberFormat="1" applyFont="1" applyFill="1" applyBorder="1" applyAlignment="1">
      <alignment horizontal="center" vertical="center"/>
    </xf>
    <xf numFmtId="37" fontId="33" fillId="20" borderId="55" xfId="0" applyNumberFormat="1" applyFont="1" applyFill="1" applyBorder="1" applyAlignment="1">
      <alignment horizontal="center" vertical="center"/>
    </xf>
    <xf numFmtId="37" fontId="33" fillId="20" borderId="57" xfId="0" applyNumberFormat="1" applyFont="1" applyFill="1" applyBorder="1" applyAlignment="1">
      <alignment horizontal="center" vertical="center"/>
    </xf>
    <xf numFmtId="37" fontId="33" fillId="0" borderId="55" xfId="0" applyNumberFormat="1" applyFont="1" applyFill="1" applyBorder="1" applyAlignment="1">
      <alignment horizontal="center" vertical="center"/>
    </xf>
    <xf numFmtId="37" fontId="33" fillId="38" borderId="55" xfId="0" applyNumberFormat="1" applyFont="1" applyFill="1" applyBorder="1" applyAlignment="1">
      <alignment horizontal="center" vertical="center"/>
    </xf>
    <xf numFmtId="0" fontId="33" fillId="18" borderId="55" xfId="0" applyFont="1" applyFill="1" applyBorder="1" applyAlignment="1">
      <alignment horizontal="center" vertical="center"/>
    </xf>
    <xf numFmtId="37" fontId="33" fillId="0" borderId="57" xfId="0" applyNumberFormat="1" applyFont="1" applyBorder="1" applyAlignment="1">
      <alignment horizontal="center" vertical="center"/>
    </xf>
    <xf numFmtId="43" fontId="0" fillId="0" borderId="0" xfId="7" applyFont="1" applyAlignment="1">
      <alignment horizontal="center" vertical="center"/>
    </xf>
    <xf numFmtId="37" fontId="33" fillId="0" borderId="57" xfId="0" applyNumberFormat="1" applyFont="1" applyFill="1" applyBorder="1" applyAlignment="1">
      <alignment horizontal="center" vertical="center"/>
    </xf>
    <xf numFmtId="37" fontId="34" fillId="21" borderId="59" xfId="0" applyNumberFormat="1" applyFont="1" applyFill="1" applyBorder="1" applyAlignment="1">
      <alignment horizontal="center" vertical="center"/>
    </xf>
    <xf numFmtId="37" fontId="33" fillId="18" borderId="57" xfId="0" applyNumberFormat="1" applyFont="1" applyFill="1" applyBorder="1" applyAlignment="1">
      <alignment horizontal="center" vertical="center"/>
    </xf>
    <xf numFmtId="37" fontId="34" fillId="21" borderId="60" xfId="0" applyNumberFormat="1" applyFont="1" applyFill="1" applyBorder="1" applyAlignment="1">
      <alignment horizontal="center" vertical="center"/>
    </xf>
    <xf numFmtId="0" fontId="34" fillId="21" borderId="89" xfId="0" applyFont="1" applyFill="1" applyBorder="1" applyAlignment="1">
      <alignment horizontal="center" vertical="center"/>
    </xf>
    <xf numFmtId="0" fontId="34" fillId="21" borderId="90" xfId="0" applyFont="1" applyFill="1" applyBorder="1" applyAlignment="1">
      <alignment horizontal="center" vertical="center"/>
    </xf>
    <xf numFmtId="3" fontId="33" fillId="38" borderId="55" xfId="0" applyNumberFormat="1" applyFont="1" applyFill="1" applyBorder="1" applyAlignment="1">
      <alignment horizontal="center" vertical="center"/>
    </xf>
    <xf numFmtId="3" fontId="33" fillId="18" borderId="55" xfId="0" applyNumberFormat="1" applyFont="1" applyFill="1" applyBorder="1" applyAlignment="1">
      <alignment horizontal="center" vertical="center"/>
    </xf>
    <xf numFmtId="3" fontId="33" fillId="18" borderId="57" xfId="0" applyNumberFormat="1" applyFont="1" applyFill="1" applyBorder="1" applyAlignment="1">
      <alignment horizontal="center" vertical="center"/>
    </xf>
    <xf numFmtId="0" fontId="33" fillId="38" borderId="55" xfId="0" applyFont="1" applyFill="1" applyBorder="1" applyAlignment="1">
      <alignment horizontal="center" vertical="center"/>
    </xf>
    <xf numFmtId="3" fontId="33" fillId="38" borderId="59" xfId="0" applyNumberFormat="1" applyFont="1" applyFill="1" applyBorder="1" applyAlignment="1">
      <alignment horizontal="center" vertical="center"/>
    </xf>
    <xf numFmtId="3" fontId="33" fillId="18" borderId="59" xfId="0" applyNumberFormat="1" applyFont="1" applyFill="1" applyBorder="1" applyAlignment="1">
      <alignment horizontal="center" vertical="center"/>
    </xf>
    <xf numFmtId="3" fontId="33" fillId="18" borderId="60" xfId="0" applyNumberFormat="1" applyFont="1" applyFill="1" applyBorder="1" applyAlignment="1">
      <alignment horizontal="center" vertical="center"/>
    </xf>
    <xf numFmtId="0" fontId="11" fillId="0" borderId="0" xfId="0" applyFont="1" applyAlignment="1">
      <alignment vertical="center"/>
    </xf>
    <xf numFmtId="0" fontId="0" fillId="0" borderId="0" xfId="0" applyAlignment="1">
      <alignment vertical="center"/>
    </xf>
    <xf numFmtId="9" fontId="6" fillId="0" borderId="56" xfId="2" applyFont="1" applyFill="1" applyBorder="1" applyAlignment="1">
      <alignment vertical="center"/>
    </xf>
    <xf numFmtId="9" fontId="8" fillId="0" borderId="56" xfId="2" applyFont="1" applyFill="1" applyBorder="1" applyAlignment="1">
      <alignment vertical="center"/>
    </xf>
    <xf numFmtId="10" fontId="6" fillId="0" borderId="0" xfId="0" applyNumberFormat="1" applyFont="1" applyAlignment="1">
      <alignment vertical="center"/>
    </xf>
    <xf numFmtId="9" fontId="8" fillId="0" borderId="56" xfId="2" applyFont="1" applyFill="1" applyBorder="1" applyAlignment="1">
      <alignment vertical="center" wrapText="1"/>
    </xf>
    <xf numFmtId="9" fontId="8" fillId="0" borderId="58" xfId="2" applyFont="1" applyFill="1" applyBorder="1" applyAlignment="1">
      <alignment vertical="center"/>
    </xf>
    <xf numFmtId="0" fontId="6" fillId="0" borderId="0" xfId="0" applyFont="1" applyAlignment="1">
      <alignment vertical="center"/>
    </xf>
    <xf numFmtId="0" fontId="31" fillId="18" borderId="73" xfId="0" applyFont="1" applyFill="1" applyBorder="1" applyAlignment="1">
      <alignment vertical="center"/>
    </xf>
    <xf numFmtId="3" fontId="30" fillId="38" borderId="74" xfId="0" applyNumberFormat="1" applyFont="1" applyFill="1" applyBorder="1" applyAlignment="1">
      <alignment vertical="center"/>
    </xf>
    <xf numFmtId="3" fontId="30" fillId="18" borderId="74" xfId="0" applyNumberFormat="1" applyFont="1" applyFill="1" applyBorder="1" applyAlignment="1">
      <alignment vertical="center"/>
    </xf>
    <xf numFmtId="3" fontId="30" fillId="38" borderId="75" xfId="0" applyNumberFormat="1" applyFont="1" applyFill="1" applyBorder="1" applyAlignment="1">
      <alignment vertical="center"/>
    </xf>
    <xf numFmtId="0" fontId="30" fillId="0" borderId="0" xfId="0" applyFont="1" applyAlignment="1">
      <alignment vertical="center"/>
    </xf>
    <xf numFmtId="0" fontId="30" fillId="0" borderId="56" xfId="0" applyFont="1" applyBorder="1" applyAlignment="1">
      <alignment vertical="center"/>
    </xf>
    <xf numFmtId="0" fontId="33" fillId="20" borderId="56" xfId="0" applyFont="1" applyFill="1" applyBorder="1" applyAlignment="1">
      <alignment vertical="center"/>
    </xf>
    <xf numFmtId="0" fontId="33" fillId="20" borderId="55" xfId="0" applyFont="1" applyFill="1" applyBorder="1" applyAlignment="1">
      <alignment vertical="center"/>
    </xf>
    <xf numFmtId="0" fontId="33" fillId="20" borderId="57" xfId="0" applyFont="1" applyFill="1" applyBorder="1" applyAlignment="1">
      <alignment vertical="center"/>
    </xf>
    <xf numFmtId="0" fontId="33" fillId="0" borderId="56" xfId="0" applyFont="1" applyBorder="1" applyAlignment="1">
      <alignment vertical="center"/>
    </xf>
    <xf numFmtId="37" fontId="33" fillId="0" borderId="55" xfId="0" applyNumberFormat="1" applyFont="1" applyBorder="1" applyAlignment="1">
      <alignment vertical="center"/>
    </xf>
    <xf numFmtId="37" fontId="33" fillId="18" borderId="55" xfId="0" applyNumberFormat="1" applyFont="1" applyFill="1" applyBorder="1" applyAlignment="1">
      <alignment vertical="center"/>
    </xf>
    <xf numFmtId="0" fontId="34" fillId="21" borderId="56" xfId="0" applyFont="1" applyFill="1" applyBorder="1" applyAlignment="1">
      <alignment vertical="center"/>
    </xf>
    <xf numFmtId="37" fontId="33" fillId="20" borderId="55" xfId="0" applyNumberFormat="1" applyFont="1" applyFill="1" applyBorder="1" applyAlignment="1">
      <alignment vertical="center"/>
    </xf>
    <xf numFmtId="37" fontId="33" fillId="20" borderId="57" xfId="0" applyNumberFormat="1" applyFont="1" applyFill="1" applyBorder="1" applyAlignment="1">
      <alignment vertical="center"/>
    </xf>
    <xf numFmtId="37" fontId="33" fillId="0" borderId="55" xfId="0" applyNumberFormat="1" applyFont="1" applyFill="1" applyBorder="1" applyAlignment="1">
      <alignment vertical="center"/>
    </xf>
    <xf numFmtId="0" fontId="33" fillId="0" borderId="55" xfId="0" applyFont="1" applyBorder="1" applyAlignment="1">
      <alignment vertical="center"/>
    </xf>
    <xf numFmtId="0" fontId="33" fillId="18" borderId="55" xfId="0" applyFont="1" applyFill="1" applyBorder="1" applyAlignment="1">
      <alignment vertical="center"/>
    </xf>
    <xf numFmtId="0" fontId="33" fillId="0" borderId="57" xfId="0" applyFont="1" applyBorder="1" applyAlignment="1">
      <alignment vertical="center"/>
    </xf>
    <xf numFmtId="37" fontId="0" fillId="0" borderId="0" xfId="0" applyNumberFormat="1" applyAlignment="1">
      <alignment vertical="center"/>
    </xf>
    <xf numFmtId="37" fontId="33" fillId="0" borderId="57" xfId="0" applyNumberFormat="1" applyFont="1" applyFill="1" applyBorder="1" applyAlignment="1">
      <alignment vertical="center"/>
    </xf>
    <xf numFmtId="0" fontId="33" fillId="0" borderId="56" xfId="0" applyFont="1" applyBorder="1" applyAlignment="1">
      <alignment vertical="center" wrapText="1"/>
    </xf>
    <xf numFmtId="0" fontId="34" fillId="21" borderId="58" xfId="0" applyFont="1" applyFill="1" applyBorder="1" applyAlignment="1">
      <alignment vertical="center"/>
    </xf>
    <xf numFmtId="0" fontId="33" fillId="21" borderId="88" xfId="0" applyFont="1" applyFill="1" applyBorder="1" applyAlignment="1">
      <alignment vertical="center"/>
    </xf>
    <xf numFmtId="0" fontId="33" fillId="18" borderId="56" xfId="0" applyFont="1" applyFill="1" applyBorder="1" applyAlignment="1">
      <alignment vertical="center"/>
    </xf>
    <xf numFmtId="0" fontId="33" fillId="18" borderId="58" xfId="0" applyFont="1" applyFill="1" applyBorder="1" applyAlignment="1">
      <alignment vertical="center"/>
    </xf>
    <xf numFmtId="0" fontId="33" fillId="21" borderId="70" xfId="0" applyFont="1" applyFill="1" applyBorder="1" applyAlignment="1">
      <alignment vertical="center"/>
    </xf>
    <xf numFmtId="10" fontId="33" fillId="21" borderId="72" xfId="0" applyNumberFormat="1" applyFont="1" applyFill="1" applyBorder="1" applyAlignment="1">
      <alignment vertical="center"/>
    </xf>
    <xf numFmtId="0" fontId="33" fillId="0" borderId="76" xfId="0" applyFont="1" applyBorder="1" applyAlignment="1">
      <alignment vertical="center"/>
    </xf>
    <xf numFmtId="9" fontId="33" fillId="0" borderId="77" xfId="0" applyNumberFormat="1" applyFont="1" applyBorder="1" applyAlignment="1">
      <alignment vertical="center"/>
    </xf>
    <xf numFmtId="10" fontId="30" fillId="0" borderId="0" xfId="0" applyNumberFormat="1" applyFont="1" applyAlignment="1">
      <alignment vertical="center"/>
    </xf>
    <xf numFmtId="0" fontId="33" fillId="21" borderId="76" xfId="0" applyFont="1" applyFill="1" applyBorder="1" applyAlignment="1">
      <alignment vertical="center"/>
    </xf>
    <xf numFmtId="10" fontId="33" fillId="21" borderId="77" xfId="0" applyNumberFormat="1" applyFont="1" applyFill="1" applyBorder="1" applyAlignment="1">
      <alignment vertical="center"/>
    </xf>
    <xf numFmtId="4" fontId="30" fillId="36" borderId="0" xfId="0" applyNumberFormat="1" applyFont="1" applyFill="1" applyAlignment="1">
      <alignment vertical="center"/>
    </xf>
    <xf numFmtId="0" fontId="33" fillId="0" borderId="73" xfId="0" applyFont="1" applyBorder="1" applyAlignment="1">
      <alignment vertical="center"/>
    </xf>
    <xf numFmtId="3" fontId="33" fillId="0" borderId="75" xfId="0" applyNumberFormat="1" applyFont="1" applyBorder="1" applyAlignment="1">
      <alignment vertical="center"/>
    </xf>
    <xf numFmtId="10" fontId="30" fillId="36" borderId="0" xfId="0" applyNumberFormat="1" applyFont="1" applyFill="1" applyAlignment="1">
      <alignment vertical="center"/>
    </xf>
    <xf numFmtId="0" fontId="0" fillId="36" borderId="0" xfId="0" applyFill="1" applyAlignment="1">
      <alignment vertical="center"/>
    </xf>
    <xf numFmtId="0" fontId="30" fillId="0" borderId="8" xfId="0" applyFont="1" applyBorder="1" applyAlignment="1">
      <alignment horizontal="center" vertical="center"/>
    </xf>
    <xf numFmtId="0" fontId="30" fillId="4" borderId="9" xfId="0" applyFont="1" applyFill="1" applyBorder="1" applyAlignment="1">
      <alignment horizontal="center" vertical="center"/>
    </xf>
    <xf numFmtId="0" fontId="30" fillId="0" borderId="10" xfId="0" applyFont="1" applyBorder="1" applyAlignment="1">
      <alignment horizontal="center" vertical="center"/>
    </xf>
    <xf numFmtId="0" fontId="33" fillId="4" borderId="12" xfId="0" applyFont="1" applyFill="1" applyBorder="1" applyAlignment="1">
      <alignment horizontal="center" vertical="center"/>
    </xf>
    <xf numFmtId="0" fontId="33" fillId="0" borderId="13" xfId="0" applyFont="1" applyBorder="1" applyAlignment="1">
      <alignment horizontal="center" vertical="center"/>
    </xf>
    <xf numFmtId="3" fontId="33" fillId="0" borderId="0" xfId="0" applyNumberFormat="1" applyFont="1" applyAlignment="1">
      <alignment horizontal="center" vertical="center"/>
    </xf>
    <xf numFmtId="3" fontId="33" fillId="4" borderId="12" xfId="0" applyNumberFormat="1" applyFont="1" applyFill="1" applyBorder="1" applyAlignment="1">
      <alignment horizontal="center" vertical="center"/>
    </xf>
    <xf numFmtId="3" fontId="33" fillId="0" borderId="13" xfId="0" applyNumberFormat="1" applyFont="1" applyBorder="1" applyAlignment="1">
      <alignment horizontal="center" vertical="center"/>
    </xf>
    <xf numFmtId="3" fontId="33" fillId="4" borderId="40" xfId="0" applyNumberFormat="1" applyFont="1" applyFill="1" applyBorder="1" applyAlignment="1">
      <alignment horizontal="center" vertical="center"/>
    </xf>
    <xf numFmtId="3" fontId="33" fillId="0" borderId="41" xfId="0" applyNumberFormat="1" applyFont="1" applyBorder="1" applyAlignment="1">
      <alignment horizontal="center" vertical="center"/>
    </xf>
    <xf numFmtId="3" fontId="33" fillId="0" borderId="152" xfId="0" applyNumberFormat="1" applyFont="1" applyBorder="1" applyAlignment="1">
      <alignment horizontal="center" vertical="center"/>
    </xf>
    <xf numFmtId="3" fontId="34" fillId="5" borderId="15" xfId="0" applyNumberFormat="1" applyFont="1" applyFill="1" applyBorder="1" applyAlignment="1">
      <alignment horizontal="center" vertical="center"/>
    </xf>
    <xf numFmtId="3" fontId="34" fillId="5" borderId="78" xfId="0" applyNumberFormat="1" applyFont="1" applyFill="1" applyBorder="1" applyAlignment="1">
      <alignment horizontal="center" vertical="center"/>
    </xf>
    <xf numFmtId="3" fontId="33" fillId="6" borderId="12" xfId="0" applyNumberFormat="1" applyFont="1" applyFill="1" applyBorder="1" applyAlignment="1">
      <alignment horizontal="center" vertical="center"/>
    </xf>
    <xf numFmtId="3" fontId="33" fillId="6" borderId="17" xfId="0" applyNumberFormat="1" applyFont="1" applyFill="1" applyBorder="1" applyAlignment="1">
      <alignment horizontal="center" vertical="center"/>
    </xf>
    <xf numFmtId="3" fontId="35" fillId="7" borderId="15" xfId="0" applyNumberFormat="1" applyFont="1" applyFill="1" applyBorder="1" applyAlignment="1">
      <alignment horizontal="center" vertical="center"/>
    </xf>
    <xf numFmtId="37" fontId="33" fillId="0" borderId="13" xfId="0" applyNumberFormat="1" applyFont="1" applyBorder="1" applyAlignment="1">
      <alignment horizontal="center" vertical="center"/>
    </xf>
    <xf numFmtId="37" fontId="33" fillId="4" borderId="40" xfId="0" applyNumberFormat="1" applyFont="1" applyFill="1" applyBorder="1" applyAlignment="1">
      <alignment horizontal="center" vertical="center"/>
    </xf>
    <xf numFmtId="37" fontId="33" fillId="0" borderId="41" xfId="0" applyNumberFormat="1" applyFont="1" applyBorder="1" applyAlignment="1">
      <alignment horizontal="center" vertical="center"/>
    </xf>
    <xf numFmtId="3" fontId="34" fillId="8" borderId="12" xfId="0" applyNumberFormat="1" applyFont="1" applyFill="1" applyBorder="1" applyAlignment="1">
      <alignment horizontal="center" vertical="center"/>
    </xf>
    <xf numFmtId="3" fontId="34" fillId="8" borderId="77" xfId="0" applyNumberFormat="1" applyFont="1" applyFill="1" applyBorder="1" applyAlignment="1">
      <alignment horizontal="center" vertical="center"/>
    </xf>
    <xf numFmtId="3" fontId="35" fillId="7" borderId="19" xfId="0" applyNumberFormat="1" applyFont="1" applyFill="1" applyBorder="1" applyAlignment="1">
      <alignment horizontal="center" vertical="center"/>
    </xf>
    <xf numFmtId="165" fontId="34" fillId="8" borderId="56" xfId="7" applyNumberFormat="1" applyFont="1" applyFill="1" applyBorder="1" applyAlignment="1">
      <alignment horizontal="center" vertical="center"/>
    </xf>
    <xf numFmtId="165" fontId="33" fillId="62" borderId="55" xfId="7" applyNumberFormat="1" applyFont="1" applyFill="1" applyBorder="1" applyAlignment="1">
      <alignment horizontal="center" vertical="center"/>
    </xf>
    <xf numFmtId="165" fontId="33" fillId="62" borderId="57" xfId="7" applyNumberFormat="1" applyFont="1" applyFill="1" applyBorder="1" applyAlignment="1">
      <alignment horizontal="center" vertical="center"/>
    </xf>
    <xf numFmtId="37" fontId="34" fillId="8" borderId="55" xfId="0" applyNumberFormat="1" applyFont="1" applyFill="1" applyBorder="1" applyAlignment="1">
      <alignment horizontal="center" vertical="center"/>
    </xf>
    <xf numFmtId="37" fontId="33" fillId="4" borderId="55" xfId="0" applyNumberFormat="1" applyFont="1" applyFill="1" applyBorder="1" applyAlignment="1">
      <alignment horizontal="center" vertical="center"/>
    </xf>
    <xf numFmtId="37" fontId="33" fillId="12" borderId="55" xfId="0" applyNumberFormat="1" applyFont="1" applyFill="1" applyBorder="1" applyAlignment="1">
      <alignment horizontal="center" vertical="center"/>
    </xf>
    <xf numFmtId="37" fontId="33" fillId="12" borderId="57" xfId="0" applyNumberFormat="1" applyFont="1" applyFill="1" applyBorder="1" applyAlignment="1">
      <alignment horizontal="center" vertical="center"/>
    </xf>
    <xf numFmtId="37" fontId="34" fillId="55" borderId="55" xfId="0" applyNumberFormat="1" applyFont="1" applyFill="1" applyBorder="1" applyAlignment="1">
      <alignment horizontal="center" vertical="center"/>
    </xf>
    <xf numFmtId="37" fontId="33" fillId="63" borderId="55" xfId="0" applyNumberFormat="1" applyFont="1" applyFill="1" applyBorder="1" applyAlignment="1">
      <alignment horizontal="center" vertical="center"/>
    </xf>
    <xf numFmtId="37" fontId="33" fillId="38" borderId="57" xfId="0" applyNumberFormat="1" applyFont="1" applyFill="1" applyBorder="1" applyAlignment="1">
      <alignment horizontal="center" vertical="center"/>
    </xf>
    <xf numFmtId="37" fontId="34" fillId="64" borderId="55" xfId="0" applyNumberFormat="1" applyFont="1" applyFill="1" applyBorder="1" applyAlignment="1">
      <alignment horizontal="center" vertical="center"/>
    </xf>
    <xf numFmtId="37" fontId="34" fillId="64" borderId="57" xfId="0" applyNumberFormat="1" applyFont="1" applyFill="1" applyBorder="1" applyAlignment="1">
      <alignment horizontal="center" vertical="center"/>
    </xf>
    <xf numFmtId="37" fontId="33" fillId="64" borderId="55" xfId="0" applyNumberFormat="1" applyFont="1" applyFill="1" applyBorder="1" applyAlignment="1">
      <alignment horizontal="center" vertical="center"/>
    </xf>
    <xf numFmtId="37" fontId="33" fillId="64" borderId="57" xfId="0" applyNumberFormat="1" applyFont="1" applyFill="1" applyBorder="1" applyAlignment="1">
      <alignment horizontal="center" vertical="center"/>
    </xf>
    <xf numFmtId="0" fontId="33" fillId="12" borderId="55" xfId="0" applyFont="1" applyFill="1" applyBorder="1" applyAlignment="1">
      <alignment horizontal="center" vertical="center"/>
    </xf>
    <xf numFmtId="0" fontId="33" fillId="12" borderId="57" xfId="0" applyFont="1" applyFill="1" applyBorder="1" applyAlignment="1">
      <alignment horizontal="center" vertical="center"/>
    </xf>
    <xf numFmtId="0" fontId="37" fillId="0" borderId="59" xfId="0" applyFont="1" applyBorder="1" applyAlignment="1">
      <alignment horizontal="center" vertical="center"/>
    </xf>
    <xf numFmtId="0" fontId="37" fillId="0" borderId="60" xfId="0" applyFont="1" applyBorder="1" applyAlignment="1">
      <alignment horizontal="center" vertical="center"/>
    </xf>
  </cellXfs>
  <cellStyles count="8">
    <cellStyle name="20% - Accent1" xfId="5" builtinId="30"/>
    <cellStyle name="Accent2" xfId="6" builtinId="33"/>
    <cellStyle name="Comma" xfId="7" builtinId="3"/>
    <cellStyle name="Comma 2" xfId="3" xr:uid="{00000000-0005-0000-0000-000002000000}"/>
    <cellStyle name="Normal" xfId="0" builtinId="0"/>
    <cellStyle name="Normal 2" xfId="1" xr:uid="{00000000-0005-0000-0000-000004000000}"/>
    <cellStyle name="Normal 3" xfId="4" xr:uid="{00000000-0005-0000-0000-000005000000}"/>
    <cellStyle name="Percent" xfId="2" builtinId="5"/>
  </cellStyles>
  <dxfs count="2">
    <dxf>
      <fill>
        <patternFill patternType="solid">
          <fgColor rgb="FFB7E1CD"/>
          <bgColor rgb="FFB7E1CD"/>
        </patternFill>
      </fill>
    </dxf>
    <dxf>
      <fill>
        <patternFill patternType="none"/>
      </fill>
    </dxf>
  </dxfs>
  <tableStyles count="0" defaultTableStyle="TableStyleMedium2" defaultPivotStyle="PivotStyleLight16"/>
  <colors>
    <mruColors>
      <color rgb="FFE6EEF0"/>
      <color rgb="FFA9D5E7"/>
      <color rgb="FF26A6C0"/>
      <color rgb="FF7F7F7F"/>
      <color rgb="FF75BDA7"/>
      <color rgb="FF8C5B93"/>
      <color rgb="FFC313DB"/>
      <color rgb="FFFEE2FA"/>
      <color rgb="FFE608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Margins</a:t>
            </a:r>
          </a:p>
        </c:rich>
      </c:tx>
      <c:overlay val="0"/>
    </c:title>
    <c:autoTitleDeleted val="0"/>
    <c:plotArea>
      <c:layout>
        <c:manualLayout>
          <c:layoutTarget val="inner"/>
          <c:xMode val="edge"/>
          <c:yMode val="edge"/>
          <c:x val="0.27247484689413831"/>
          <c:y val="0.17868073782443875"/>
          <c:w val="0.68308070866141735"/>
          <c:h val="0.45118146689997124"/>
        </c:manualLayout>
      </c:layout>
      <c:barChart>
        <c:barDir val="col"/>
        <c:grouping val="clustered"/>
        <c:varyColors val="0"/>
        <c:ser>
          <c:idx val="0"/>
          <c:order val="0"/>
          <c:tx>
            <c:strRef>
              <c:f>'Relative Valuation'!$A$5</c:f>
              <c:strCache>
                <c:ptCount val="1"/>
                <c:pt idx="0">
                  <c:v>Gross Margin</c:v>
                </c:pt>
              </c:strCache>
            </c:strRef>
          </c:tx>
          <c:invertIfNegative val="0"/>
          <c:cat>
            <c:strRef>
              <c:f>'Relative Valuation'!$B$3:$F$3</c:f>
              <c:strCache>
                <c:ptCount val="5"/>
                <c:pt idx="0">
                  <c:v>2015-2016</c:v>
                </c:pt>
                <c:pt idx="1">
                  <c:v>2016-2017</c:v>
                </c:pt>
                <c:pt idx="2">
                  <c:v>2017-2018</c:v>
                </c:pt>
                <c:pt idx="3">
                  <c:v>2018-2019</c:v>
                </c:pt>
                <c:pt idx="4">
                  <c:v>2019-2020</c:v>
                </c:pt>
              </c:strCache>
            </c:strRef>
          </c:cat>
          <c:val>
            <c:numRef>
              <c:f>'Relative Valuation'!$B$5:$F$5</c:f>
              <c:numCache>
                <c:formatCode>0.00%</c:formatCode>
                <c:ptCount val="5"/>
                <c:pt idx="0">
                  <c:v>0.48350788172960957</c:v>
                </c:pt>
                <c:pt idx="1">
                  <c:v>0.49991000059134327</c:v>
                </c:pt>
                <c:pt idx="2">
                  <c:v>0.4933700204207237</c:v>
                </c:pt>
                <c:pt idx="3">
                  <c:v>0.49830658500625974</c:v>
                </c:pt>
                <c:pt idx="4">
                  <c:v>0.50875295430759515</c:v>
                </c:pt>
              </c:numCache>
            </c:numRef>
          </c:val>
          <c:extLst>
            <c:ext xmlns:c16="http://schemas.microsoft.com/office/drawing/2014/chart" uri="{C3380CC4-5D6E-409C-BE32-E72D297353CC}">
              <c16:uniqueId val="{00000000-3B92-4ADB-AA46-5145E431BDF6}"/>
            </c:ext>
          </c:extLst>
        </c:ser>
        <c:ser>
          <c:idx val="1"/>
          <c:order val="1"/>
          <c:tx>
            <c:strRef>
              <c:f>'Relative Valuation'!$A$6</c:f>
              <c:strCache>
                <c:ptCount val="1"/>
                <c:pt idx="0">
                  <c:v>Operating Margin</c:v>
                </c:pt>
              </c:strCache>
            </c:strRef>
          </c:tx>
          <c:invertIfNegative val="0"/>
          <c:cat>
            <c:strRef>
              <c:f>'Relative Valuation'!$B$3:$F$3</c:f>
              <c:strCache>
                <c:ptCount val="5"/>
                <c:pt idx="0">
                  <c:v>2015-2016</c:v>
                </c:pt>
                <c:pt idx="1">
                  <c:v>2016-2017</c:v>
                </c:pt>
                <c:pt idx="2">
                  <c:v>2017-2018</c:v>
                </c:pt>
                <c:pt idx="3">
                  <c:v>2018-2019</c:v>
                </c:pt>
                <c:pt idx="4">
                  <c:v>2019-2020</c:v>
                </c:pt>
              </c:strCache>
            </c:strRef>
          </c:cat>
          <c:val>
            <c:numRef>
              <c:f>'Relative Valuation'!$B$6:$F$6</c:f>
              <c:numCache>
                <c:formatCode>0.00%</c:formatCode>
                <c:ptCount val="5"/>
                <c:pt idx="0">
                  <c:v>0.32627885729861056</c:v>
                </c:pt>
                <c:pt idx="1">
                  <c:v>0.33648078838690482</c:v>
                </c:pt>
                <c:pt idx="2">
                  <c:v>0.32231292843721332</c:v>
                </c:pt>
                <c:pt idx="3">
                  <c:v>0.32117379343717689</c:v>
                </c:pt>
                <c:pt idx="4">
                  <c:v>0.32108896680414706</c:v>
                </c:pt>
              </c:numCache>
            </c:numRef>
          </c:val>
          <c:extLst>
            <c:ext xmlns:c16="http://schemas.microsoft.com/office/drawing/2014/chart" uri="{C3380CC4-5D6E-409C-BE32-E72D297353CC}">
              <c16:uniqueId val="{00000001-3B92-4ADB-AA46-5145E431BDF6}"/>
            </c:ext>
          </c:extLst>
        </c:ser>
        <c:ser>
          <c:idx val="2"/>
          <c:order val="2"/>
          <c:tx>
            <c:strRef>
              <c:f>'Relative Valuation'!$A$7</c:f>
              <c:strCache>
                <c:ptCount val="1"/>
                <c:pt idx="0">
                  <c:v>EBT Margin</c:v>
                </c:pt>
              </c:strCache>
            </c:strRef>
          </c:tx>
          <c:invertIfNegative val="0"/>
          <c:cat>
            <c:strRef>
              <c:f>'Relative Valuation'!$B$3:$F$3</c:f>
              <c:strCache>
                <c:ptCount val="5"/>
                <c:pt idx="0">
                  <c:v>2015-2016</c:v>
                </c:pt>
                <c:pt idx="1">
                  <c:v>2016-2017</c:v>
                </c:pt>
                <c:pt idx="2">
                  <c:v>2017-2018</c:v>
                </c:pt>
                <c:pt idx="3">
                  <c:v>2018-2019</c:v>
                </c:pt>
                <c:pt idx="4">
                  <c:v>2019-2020</c:v>
                </c:pt>
              </c:strCache>
            </c:strRef>
          </c:cat>
          <c:val>
            <c:numRef>
              <c:f>'Relative Valuation'!$B$7:$F$7</c:f>
              <c:numCache>
                <c:formatCode>0.00%</c:formatCode>
                <c:ptCount val="5"/>
                <c:pt idx="0">
                  <c:v>0.3296646480905655</c:v>
                </c:pt>
                <c:pt idx="1">
                  <c:v>0.34871285114077327</c:v>
                </c:pt>
                <c:pt idx="2">
                  <c:v>0.34922069792442489</c:v>
                </c:pt>
                <c:pt idx="3">
                  <c:v>0.35565740030287213</c:v>
                </c:pt>
                <c:pt idx="4">
                  <c:v>0.37050780854705517</c:v>
                </c:pt>
              </c:numCache>
            </c:numRef>
          </c:val>
          <c:extLst>
            <c:ext xmlns:c16="http://schemas.microsoft.com/office/drawing/2014/chart" uri="{C3380CC4-5D6E-409C-BE32-E72D297353CC}">
              <c16:uniqueId val="{00000002-3B92-4ADB-AA46-5145E431BDF6}"/>
            </c:ext>
          </c:extLst>
        </c:ser>
        <c:dLbls>
          <c:showLegendKey val="0"/>
          <c:showVal val="0"/>
          <c:showCatName val="0"/>
          <c:showSerName val="0"/>
          <c:showPercent val="0"/>
          <c:showBubbleSize val="0"/>
        </c:dLbls>
        <c:gapWidth val="150"/>
        <c:axId val="212402560"/>
        <c:axId val="212404096"/>
      </c:barChart>
      <c:catAx>
        <c:axId val="212402560"/>
        <c:scaling>
          <c:orientation val="minMax"/>
        </c:scaling>
        <c:delete val="0"/>
        <c:axPos val="b"/>
        <c:numFmt formatCode="General" sourceLinked="0"/>
        <c:majorTickMark val="none"/>
        <c:minorTickMark val="none"/>
        <c:tickLblPos val="nextTo"/>
        <c:crossAx val="212404096"/>
        <c:crosses val="autoZero"/>
        <c:auto val="1"/>
        <c:lblAlgn val="ctr"/>
        <c:lblOffset val="100"/>
        <c:noMultiLvlLbl val="0"/>
      </c:catAx>
      <c:valAx>
        <c:axId val="212404096"/>
        <c:scaling>
          <c:orientation val="minMax"/>
        </c:scaling>
        <c:delete val="0"/>
        <c:axPos val="l"/>
        <c:majorGridlines/>
        <c:numFmt formatCode="0.00%" sourceLinked="1"/>
        <c:majorTickMark val="none"/>
        <c:minorTickMark val="none"/>
        <c:tickLblPos val="nextTo"/>
        <c:crossAx val="212402560"/>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Management</a:t>
            </a:r>
            <a:r>
              <a:rPr lang="en-US" baseline="0"/>
              <a:t> Effectiveness</a:t>
            </a:r>
            <a:endParaRPr lang="en-US"/>
          </a:p>
        </c:rich>
      </c:tx>
      <c:layout>
        <c:manualLayout>
          <c:xMode val="edge"/>
          <c:yMode val="edge"/>
          <c:x val="0.237763779527559"/>
          <c:y val="3.2407407407407454E-2"/>
        </c:manualLayout>
      </c:layout>
      <c:overlay val="0"/>
    </c:title>
    <c:autoTitleDeleted val="0"/>
    <c:plotArea>
      <c:layout/>
      <c:barChart>
        <c:barDir val="col"/>
        <c:grouping val="clustered"/>
        <c:varyColors val="0"/>
        <c:ser>
          <c:idx val="1"/>
          <c:order val="0"/>
          <c:tx>
            <c:strRef>
              <c:f>'Relative Valuation'!$A$10</c:f>
              <c:strCache>
                <c:ptCount val="1"/>
                <c:pt idx="0">
                  <c:v>Return on Assets</c:v>
                </c:pt>
              </c:strCache>
            </c:strRef>
          </c:tx>
          <c:invertIfNegative val="0"/>
          <c:cat>
            <c:strRef>
              <c:f>'Relative Valuation'!$B$3:$F$3</c:f>
              <c:strCache>
                <c:ptCount val="5"/>
                <c:pt idx="0">
                  <c:v>2015-2016</c:v>
                </c:pt>
                <c:pt idx="1">
                  <c:v>2016-2017</c:v>
                </c:pt>
                <c:pt idx="2">
                  <c:v>2017-2018</c:v>
                </c:pt>
                <c:pt idx="3">
                  <c:v>2018-2019</c:v>
                </c:pt>
                <c:pt idx="4">
                  <c:v>2019-2020</c:v>
                </c:pt>
              </c:strCache>
            </c:strRef>
          </c:cat>
          <c:val>
            <c:numRef>
              <c:f>'Relative Valuation'!$B$10:$F$10</c:f>
              <c:numCache>
                <c:formatCode>0.00%</c:formatCode>
                <c:ptCount val="5"/>
                <c:pt idx="0">
                  <c:v>0.20765025378670121</c:v>
                </c:pt>
                <c:pt idx="1">
                  <c:v>0.20897291046000269</c:v>
                </c:pt>
                <c:pt idx="2">
                  <c:v>0.18281953649033034</c:v>
                </c:pt>
                <c:pt idx="3">
                  <c:v>0.17471191631823957</c:v>
                </c:pt>
                <c:pt idx="4">
                  <c:v>0.15569592070122365</c:v>
                </c:pt>
              </c:numCache>
            </c:numRef>
          </c:val>
          <c:extLst>
            <c:ext xmlns:c16="http://schemas.microsoft.com/office/drawing/2014/chart" uri="{C3380CC4-5D6E-409C-BE32-E72D297353CC}">
              <c16:uniqueId val="{00000000-46EE-4DD1-B5C1-5B3DC3466070}"/>
            </c:ext>
          </c:extLst>
        </c:ser>
        <c:ser>
          <c:idx val="2"/>
          <c:order val="1"/>
          <c:tx>
            <c:strRef>
              <c:f>'Relative Valuation'!$A$11</c:f>
              <c:strCache>
                <c:ptCount val="1"/>
                <c:pt idx="0">
                  <c:v>Return on Equity</c:v>
                </c:pt>
              </c:strCache>
            </c:strRef>
          </c:tx>
          <c:invertIfNegative val="0"/>
          <c:cat>
            <c:strRef>
              <c:f>'Relative Valuation'!$B$3:$F$3</c:f>
              <c:strCache>
                <c:ptCount val="5"/>
                <c:pt idx="0">
                  <c:v>2015-2016</c:v>
                </c:pt>
                <c:pt idx="1">
                  <c:v>2016-2017</c:v>
                </c:pt>
                <c:pt idx="2">
                  <c:v>2017-2018</c:v>
                </c:pt>
                <c:pt idx="3">
                  <c:v>2018-2019</c:v>
                </c:pt>
                <c:pt idx="4">
                  <c:v>2019-2020</c:v>
                </c:pt>
              </c:strCache>
            </c:strRef>
          </c:cat>
          <c:val>
            <c:numRef>
              <c:f>'Relative Valuation'!$B$11:$F$11</c:f>
              <c:numCache>
                <c:formatCode>0.00%</c:formatCode>
                <c:ptCount val="5"/>
                <c:pt idx="0">
                  <c:v>0.22684444363057357</c:v>
                </c:pt>
                <c:pt idx="1">
                  <c:v>0.22390540104838419</c:v>
                </c:pt>
                <c:pt idx="2">
                  <c:v>0.19374899538299428</c:v>
                </c:pt>
                <c:pt idx="3">
                  <c:v>0.18569034321036387</c:v>
                </c:pt>
                <c:pt idx="4">
                  <c:v>0.1647878304172779</c:v>
                </c:pt>
              </c:numCache>
            </c:numRef>
          </c:val>
          <c:extLst>
            <c:ext xmlns:c16="http://schemas.microsoft.com/office/drawing/2014/chart" uri="{C3380CC4-5D6E-409C-BE32-E72D297353CC}">
              <c16:uniqueId val="{00000001-46EE-4DD1-B5C1-5B3DC3466070}"/>
            </c:ext>
          </c:extLst>
        </c:ser>
        <c:dLbls>
          <c:showLegendKey val="0"/>
          <c:showVal val="0"/>
          <c:showCatName val="0"/>
          <c:showSerName val="0"/>
          <c:showPercent val="0"/>
          <c:showBubbleSize val="0"/>
        </c:dLbls>
        <c:gapWidth val="150"/>
        <c:axId val="212432768"/>
        <c:axId val="212434304"/>
        <c:extLst>
          <c:ext xmlns:c15="http://schemas.microsoft.com/office/drawing/2012/chart" uri="{02D57815-91ED-43cb-92C2-25804820EDAC}">
            <c15:filteredBarSeries>
              <c15:ser>
                <c:idx val="3"/>
                <c:order val="2"/>
                <c:tx>
                  <c:strRef>
                    <c:extLst>
                      <c:ext uri="{02D57815-91ED-43cb-92C2-25804820EDAC}">
                        <c15:formulaRef>
                          <c15:sqref>'Relative Valuation'!#REF!</c15:sqref>
                        </c15:formulaRef>
                      </c:ext>
                    </c:extLst>
                    <c:strCache>
                      <c:ptCount val="1"/>
                      <c:pt idx="0">
                        <c:v>#REF!</c:v>
                      </c:pt>
                    </c:strCache>
                  </c:strRef>
                </c:tx>
                <c:invertIfNegative val="0"/>
                <c:cat>
                  <c:strRef>
                    <c:extLst>
                      <c:ext uri="{02D57815-91ED-43cb-92C2-25804820EDAC}">
                        <c15:formulaRef>
                          <c15:sqref>'Relative Valuation'!$B$3:$F$3</c15:sqref>
                        </c15:formulaRef>
                      </c:ext>
                    </c:extLst>
                    <c:strCache>
                      <c:ptCount val="5"/>
                      <c:pt idx="0">
                        <c:v>2015-2016</c:v>
                      </c:pt>
                      <c:pt idx="1">
                        <c:v>2016-2017</c:v>
                      </c:pt>
                      <c:pt idx="2">
                        <c:v>2017-2018</c:v>
                      </c:pt>
                      <c:pt idx="3">
                        <c:v>2018-2019</c:v>
                      </c:pt>
                      <c:pt idx="4">
                        <c:v>2019-2020</c:v>
                      </c:pt>
                    </c:strCache>
                  </c:strRef>
                </c:cat>
                <c:val>
                  <c:numRef>
                    <c:extLst>
                      <c:ext uri="{02D57815-91ED-43cb-92C2-25804820EDAC}">
                        <c15:formulaRef>
                          <c15:sqref>'Relative Valuation'!#REF!</c15:sqref>
                        </c15:formulaRef>
                      </c:ext>
                    </c:extLst>
                    <c:numCache>
                      <c:formatCode>General</c:formatCode>
                      <c:ptCount val="1"/>
                      <c:pt idx="0">
                        <c:v>1</c:v>
                      </c:pt>
                    </c:numCache>
                  </c:numRef>
                </c:val>
                <c:extLst>
                  <c:ext xmlns:c16="http://schemas.microsoft.com/office/drawing/2014/chart" uri="{C3380CC4-5D6E-409C-BE32-E72D297353CC}">
                    <c16:uniqueId val="{00000002-46EE-4DD1-B5C1-5B3DC3466070}"/>
                  </c:ext>
                </c:extLst>
              </c15:ser>
            </c15:filteredBarSeries>
          </c:ext>
        </c:extLst>
      </c:barChart>
      <c:catAx>
        <c:axId val="212432768"/>
        <c:scaling>
          <c:orientation val="minMax"/>
        </c:scaling>
        <c:delete val="0"/>
        <c:axPos val="b"/>
        <c:numFmt formatCode="General" sourceLinked="0"/>
        <c:majorTickMark val="none"/>
        <c:minorTickMark val="none"/>
        <c:tickLblPos val="nextTo"/>
        <c:crossAx val="212434304"/>
        <c:crosses val="autoZero"/>
        <c:auto val="1"/>
        <c:lblAlgn val="ctr"/>
        <c:lblOffset val="100"/>
        <c:noMultiLvlLbl val="0"/>
      </c:catAx>
      <c:valAx>
        <c:axId val="212434304"/>
        <c:scaling>
          <c:orientation val="minMax"/>
        </c:scaling>
        <c:delete val="0"/>
        <c:axPos val="l"/>
        <c:majorGridlines/>
        <c:numFmt formatCode="0.00%" sourceLinked="1"/>
        <c:majorTickMark val="none"/>
        <c:minorTickMark val="none"/>
        <c:tickLblPos val="nextTo"/>
        <c:crossAx val="212432768"/>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Liquidity</a:t>
            </a:r>
            <a:r>
              <a:rPr lang="en-US" baseline="0"/>
              <a:t> Ratios</a:t>
            </a:r>
            <a:endParaRPr lang="en-US"/>
          </a:p>
        </c:rich>
      </c:tx>
      <c:overlay val="0"/>
    </c:title>
    <c:autoTitleDeleted val="0"/>
    <c:plotArea>
      <c:layout>
        <c:manualLayout>
          <c:layoutTarget val="inner"/>
          <c:xMode val="edge"/>
          <c:yMode val="edge"/>
          <c:x val="0"/>
          <c:y val="0.31192621755613881"/>
          <c:w val="0.93888888888888955"/>
          <c:h val="0.56889180519101845"/>
        </c:manualLayout>
      </c:layout>
      <c:barChart>
        <c:barDir val="col"/>
        <c:grouping val="clustered"/>
        <c:varyColors val="0"/>
        <c:ser>
          <c:idx val="1"/>
          <c:order val="0"/>
          <c:tx>
            <c:strRef>
              <c:f>'Relative Valuation'!$A$14</c:f>
              <c:strCache>
                <c:ptCount val="1"/>
                <c:pt idx="0">
                  <c:v>Quick Ratio</c:v>
                </c:pt>
              </c:strCache>
            </c:strRef>
          </c:tx>
          <c:invertIfNegative val="0"/>
          <c:dLbls>
            <c:dLbl>
              <c:idx val="2"/>
              <c:layout>
                <c:manualLayout>
                  <c:x val="-1.1432658378889552E-2"/>
                  <c:y val="-8.75752448917600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80-4619-ABBE-D68CD654F878}"/>
                </c:ext>
              </c:extLst>
            </c:dLbl>
            <c:dLbl>
              <c:idx val="3"/>
              <c:layout>
                <c:manualLayout>
                  <c:x val="-1.1432658378889552E-2"/>
                  <c:y val="-4.37876224458808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80-4619-ABBE-D68CD654F878}"/>
                </c:ext>
              </c:extLst>
            </c:dLbl>
            <c:dLbl>
              <c:idx val="4"/>
              <c:layout>
                <c:manualLayout>
                  <c:x val="-2.2865316757779103E-2"/>
                  <c:y val="-4.37876224458800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80-4619-ABBE-D68CD654F8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Valuation'!$B$14:$F$14</c:f>
              <c:numCache>
                <c:formatCode>0.00%</c:formatCode>
                <c:ptCount val="5"/>
                <c:pt idx="0">
                  <c:v>4.1977981212764295</c:v>
                </c:pt>
                <c:pt idx="1">
                  <c:v>6.0079490960812789</c:v>
                </c:pt>
                <c:pt idx="2">
                  <c:v>7.8174935104905527</c:v>
                </c:pt>
                <c:pt idx="3">
                  <c:v>8.6391705408835069</c:v>
                </c:pt>
                <c:pt idx="4">
                  <c:v>10.159720234868413</c:v>
                </c:pt>
              </c:numCache>
            </c:numRef>
          </c:val>
          <c:extLst>
            <c:ext xmlns:c16="http://schemas.microsoft.com/office/drawing/2014/chart" uri="{C3380CC4-5D6E-409C-BE32-E72D297353CC}">
              <c16:uniqueId val="{00000000-657D-4B0D-986F-A0ED260A8725}"/>
            </c:ext>
          </c:extLst>
        </c:ser>
        <c:ser>
          <c:idx val="2"/>
          <c:order val="1"/>
          <c:tx>
            <c:strRef>
              <c:f>'Relative Valuation'!$A$15</c:f>
              <c:strCache>
                <c:ptCount val="1"/>
                <c:pt idx="0">
                  <c:v>Cash Ratio</c:v>
                </c:pt>
              </c:strCache>
            </c:strRef>
          </c:tx>
          <c:invertIfNegative val="0"/>
          <c:dLbls>
            <c:dLbl>
              <c:idx val="0"/>
              <c:layout>
                <c:manualLayout>
                  <c:x val="1.7148987568334315E-2"/>
                  <c:y val="-4.37876224458800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80-4619-ABBE-D68CD654F878}"/>
                </c:ext>
              </c:extLst>
            </c:dLbl>
            <c:dLbl>
              <c:idx val="2"/>
              <c:layout>
                <c:manualLayout>
                  <c:x val="3.1439810541946264E-2"/>
                  <c:y val="4.3787622445879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80-4619-ABBE-D68CD654F878}"/>
                </c:ext>
              </c:extLst>
            </c:dLbl>
            <c:dLbl>
              <c:idx val="3"/>
              <c:layout>
                <c:manualLayout>
                  <c:x val="2.2865316757779103E-2"/>
                  <c:y val="-4.37876224458800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80-4619-ABBE-D68CD654F878}"/>
                </c:ext>
              </c:extLst>
            </c:dLbl>
            <c:dLbl>
              <c:idx val="4"/>
              <c:layout>
                <c:manualLayout>
                  <c:x val="3.4297975136668546E-2"/>
                  <c:y val="-4.01381902289247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80-4619-ABBE-D68CD654F8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Valuation'!$B$15:$F$15</c:f>
              <c:numCache>
                <c:formatCode>0.00%</c:formatCode>
                <c:ptCount val="5"/>
                <c:pt idx="0">
                  <c:v>3.1657440779839416</c:v>
                </c:pt>
                <c:pt idx="1">
                  <c:v>6.6775597925535779</c:v>
                </c:pt>
                <c:pt idx="2">
                  <c:v>7.716964628364571</c:v>
                </c:pt>
                <c:pt idx="3">
                  <c:v>9.0889378362242663</c:v>
                </c:pt>
                <c:pt idx="4">
                  <c:v>10.045919908582832</c:v>
                </c:pt>
              </c:numCache>
            </c:numRef>
          </c:val>
          <c:extLst>
            <c:ext xmlns:c16="http://schemas.microsoft.com/office/drawing/2014/chart" uri="{C3380CC4-5D6E-409C-BE32-E72D297353CC}">
              <c16:uniqueId val="{00000001-657D-4B0D-986F-A0ED260A8725}"/>
            </c:ext>
          </c:extLst>
        </c:ser>
        <c:dLbls>
          <c:showLegendKey val="0"/>
          <c:showVal val="1"/>
          <c:showCatName val="0"/>
          <c:showSerName val="0"/>
          <c:showPercent val="0"/>
          <c:showBubbleSize val="0"/>
        </c:dLbls>
        <c:gapWidth val="150"/>
        <c:overlap val="-25"/>
        <c:axId val="215944192"/>
        <c:axId val="215966464"/>
      </c:barChart>
      <c:catAx>
        <c:axId val="215944192"/>
        <c:scaling>
          <c:orientation val="minMax"/>
        </c:scaling>
        <c:delete val="0"/>
        <c:axPos val="b"/>
        <c:numFmt formatCode="General" sourceLinked="0"/>
        <c:majorTickMark val="none"/>
        <c:minorTickMark val="none"/>
        <c:tickLblPos val="nextTo"/>
        <c:crossAx val="215966464"/>
        <c:crosses val="autoZero"/>
        <c:auto val="1"/>
        <c:lblAlgn val="ctr"/>
        <c:lblOffset val="100"/>
        <c:noMultiLvlLbl val="0"/>
      </c:catAx>
      <c:valAx>
        <c:axId val="215966464"/>
        <c:scaling>
          <c:orientation val="minMax"/>
        </c:scaling>
        <c:delete val="1"/>
        <c:axPos val="l"/>
        <c:numFmt formatCode="0.00%" sourceLinked="1"/>
        <c:majorTickMark val="out"/>
        <c:minorTickMark val="none"/>
        <c:tickLblPos val="none"/>
        <c:crossAx val="215944192"/>
        <c:crosses val="autoZero"/>
        <c:crossBetween val="between"/>
      </c:valAx>
    </c:plotArea>
    <c:legend>
      <c:legendPos val="t"/>
      <c:overlay val="0"/>
    </c:legend>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Revenue and Income Growth</a:t>
            </a:r>
          </a:p>
        </c:rich>
      </c:tx>
      <c:overlay val="0"/>
    </c:title>
    <c:autoTitleDeleted val="0"/>
    <c:plotArea>
      <c:layout>
        <c:manualLayout>
          <c:layoutTarget val="inner"/>
          <c:xMode val="edge"/>
          <c:yMode val="edge"/>
          <c:x val="6.1111090905784579E-2"/>
          <c:y val="0.33605912861454212"/>
          <c:w val="0.93888888888888955"/>
          <c:h val="0.46805847185768518"/>
        </c:manualLayout>
      </c:layout>
      <c:barChart>
        <c:barDir val="col"/>
        <c:grouping val="clustered"/>
        <c:varyColors val="0"/>
        <c:ser>
          <c:idx val="0"/>
          <c:order val="0"/>
          <c:tx>
            <c:strRef>
              <c:f>'Relative Valuation'!$A$18</c:f>
              <c:strCache>
                <c:ptCount val="1"/>
                <c:pt idx="0">
                  <c:v>Net Income Growth</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A61-4A91-AFB3-04D84FAE2381}"/>
                </c:ext>
              </c:extLst>
            </c:dLbl>
            <c:dLbl>
              <c:idx val="2"/>
              <c:layout>
                <c:manualLayout>
                  <c:x val="-1.30463170965925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99-4B44-9394-94FEB990F156}"/>
                </c:ext>
              </c:extLst>
            </c:dLbl>
            <c:dLbl>
              <c:idx val="4"/>
              <c:layout>
                <c:manualLayout>
                  <c:x val="-2.7777777777777861E-3"/>
                  <c:y val="2.777777777777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61-4A91-AFB3-04D84FAE2381}"/>
                </c:ext>
              </c:extLst>
            </c:dLbl>
            <c:dLbl>
              <c:idx val="5"/>
              <c:delete val="1"/>
              <c:extLst>
                <c:ext xmlns:c15="http://schemas.microsoft.com/office/drawing/2012/chart" uri="{CE6537A1-D6FC-4f65-9D91-7224C49458BB}"/>
                <c:ext xmlns:c16="http://schemas.microsoft.com/office/drawing/2014/chart" uri="{C3380CC4-5D6E-409C-BE32-E72D297353CC}">
                  <c16:uniqueId val="{00000002-2A61-4A91-AFB3-04D84FAE23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Valuation'!$B$18:$F$18</c:f>
              <c:numCache>
                <c:formatCode>0.00%</c:formatCode>
                <c:ptCount val="5"/>
                <c:pt idx="1">
                  <c:v>0.19325413215573092</c:v>
                </c:pt>
                <c:pt idx="2">
                  <c:v>2.0435754524947291E-2</c:v>
                </c:pt>
                <c:pt idx="3">
                  <c:v>0.12523528527219521</c:v>
                </c:pt>
                <c:pt idx="4">
                  <c:v>1.0653676557862583E-2</c:v>
                </c:pt>
              </c:numCache>
            </c:numRef>
          </c:val>
          <c:extLst>
            <c:ext xmlns:c16="http://schemas.microsoft.com/office/drawing/2014/chart" uri="{C3380CC4-5D6E-409C-BE32-E72D297353CC}">
              <c16:uniqueId val="{00000003-2A61-4A91-AFB3-04D84FAE2381}"/>
            </c:ext>
          </c:extLst>
        </c:ser>
        <c:ser>
          <c:idx val="1"/>
          <c:order val="1"/>
          <c:tx>
            <c:strRef>
              <c:f>'Relative Valuation'!$A$19</c:f>
              <c:strCache>
                <c:ptCount val="1"/>
                <c:pt idx="0">
                  <c:v>Operating Profit Growth</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2A61-4A91-AFB3-04D84FAE2381}"/>
                </c:ext>
              </c:extLst>
            </c:dLbl>
            <c:dLbl>
              <c:idx val="1"/>
              <c:layout>
                <c:manualLayout>
                  <c:x val="1.5655580515910959E-2"/>
                  <c:y val="9.81486970608234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61-4A91-AFB3-04D84FAE2381}"/>
                </c:ext>
              </c:extLst>
            </c:dLbl>
            <c:dLbl>
              <c:idx val="2"/>
              <c:layout>
                <c:manualLayout>
                  <c:x val="-2.6092634193185891E-3"/>
                  <c:y val="9.9999965004385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61-4A91-AFB3-04D84FAE2381}"/>
                </c:ext>
              </c:extLst>
            </c:dLbl>
            <c:dLbl>
              <c:idx val="3"/>
              <c:layout>
                <c:manualLayout>
                  <c:x val="1.5318636263337548E-2"/>
                  <c:y val="1.4814692978235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61-4A91-AFB3-04D84FAE2381}"/>
                </c:ext>
              </c:extLst>
            </c:dLbl>
            <c:dLbl>
              <c:idx val="4"/>
              <c:layout>
                <c:manualLayout>
                  <c:x val="-7.8277902579555747E-3"/>
                  <c:y val="1.3889059006453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61-4A91-AFB3-04D84FAE2381}"/>
                </c:ext>
              </c:extLst>
            </c:dLbl>
            <c:dLbl>
              <c:idx val="5"/>
              <c:delete val="1"/>
              <c:extLst>
                <c:ext xmlns:c15="http://schemas.microsoft.com/office/drawing/2012/chart" uri="{CE6537A1-D6FC-4f65-9D91-7224C49458BB}"/>
                <c:ext xmlns:c16="http://schemas.microsoft.com/office/drawing/2014/chart" uri="{C3380CC4-5D6E-409C-BE32-E72D297353CC}">
                  <c16:uniqueId val="{00000009-2A61-4A91-AFB3-04D84FAE23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Valuation'!$B$19:$F$19</c:f>
              <c:numCache>
                <c:formatCode>0.00%</c:formatCode>
                <c:ptCount val="5"/>
                <c:pt idx="1">
                  <c:v>0.13944567724634252</c:v>
                </c:pt>
                <c:pt idx="2">
                  <c:v>3.9433592946155727E-2</c:v>
                </c:pt>
                <c:pt idx="3">
                  <c:v>0.10652631818458572</c:v>
                </c:pt>
                <c:pt idx="4">
                  <c:v>4.157499080659427E-2</c:v>
                </c:pt>
              </c:numCache>
            </c:numRef>
          </c:val>
          <c:extLst>
            <c:ext xmlns:c16="http://schemas.microsoft.com/office/drawing/2014/chart" uri="{C3380CC4-5D6E-409C-BE32-E72D297353CC}">
              <c16:uniqueId val="{0000000A-2A61-4A91-AFB3-04D84FAE2381}"/>
            </c:ext>
          </c:extLst>
        </c:ser>
        <c:ser>
          <c:idx val="2"/>
          <c:order val="2"/>
          <c:tx>
            <c:strRef>
              <c:f>'Relative Valuation'!$A$20</c:f>
              <c:strCache>
                <c:ptCount val="1"/>
                <c:pt idx="0">
                  <c:v>Revenue Growth</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2A61-4A91-AFB3-04D84FAE2381}"/>
                </c:ext>
              </c:extLst>
            </c:dLbl>
            <c:dLbl>
              <c:idx val="1"/>
              <c:layout>
                <c:manualLayout>
                  <c:x val="2.3483370773866391E-2"/>
                  <c:y val="4.44444288908377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99-4B44-9394-94FEB990F156}"/>
                </c:ext>
              </c:extLst>
            </c:dLbl>
            <c:dLbl>
              <c:idx val="2"/>
              <c:layout>
                <c:manualLayout>
                  <c:x val="8.3333333333333939E-3"/>
                  <c:y val="1.8518518518518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A61-4A91-AFB3-04D84FAE2381}"/>
                </c:ext>
              </c:extLst>
            </c:dLbl>
            <c:dLbl>
              <c:idx val="3"/>
              <c:layout>
                <c:manualLayout>
                  <c:x val="1.1279619762519951E-2"/>
                  <c:y val="-1.2592471533693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A61-4A91-AFB3-04D84FAE2381}"/>
                </c:ext>
              </c:extLst>
            </c:dLbl>
            <c:dLbl>
              <c:idx val="4"/>
              <c:layout>
                <c:manualLayout>
                  <c:x val="8.3333333333333367E-3"/>
                  <c:y val="2.777777777777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A61-4A91-AFB3-04D84FAE23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Valuation'!$B$20:$F$20</c:f>
              <c:numCache>
                <c:formatCode>0.00%</c:formatCode>
                <c:ptCount val="5"/>
                <c:pt idx="1">
                  <c:v>0.10489824785564757</c:v>
                </c:pt>
                <c:pt idx="2">
                  <c:v>8.5123815933082797E-2</c:v>
                </c:pt>
                <c:pt idx="3">
                  <c:v>0.11045093122357599</c:v>
                </c:pt>
                <c:pt idx="4">
                  <c:v>4.1850158466192167E-2</c:v>
                </c:pt>
              </c:numCache>
            </c:numRef>
          </c:val>
          <c:extLst>
            <c:ext xmlns:c16="http://schemas.microsoft.com/office/drawing/2014/chart" uri="{C3380CC4-5D6E-409C-BE32-E72D297353CC}">
              <c16:uniqueId val="{0000000F-2A61-4A91-AFB3-04D84FAE2381}"/>
            </c:ext>
          </c:extLst>
        </c:ser>
        <c:dLbls>
          <c:showLegendKey val="0"/>
          <c:showVal val="1"/>
          <c:showCatName val="0"/>
          <c:showSerName val="0"/>
          <c:showPercent val="0"/>
          <c:showBubbleSize val="0"/>
        </c:dLbls>
        <c:gapWidth val="150"/>
        <c:overlap val="-25"/>
        <c:axId val="216807296"/>
        <c:axId val="216808832"/>
      </c:barChart>
      <c:catAx>
        <c:axId val="216807296"/>
        <c:scaling>
          <c:orientation val="minMax"/>
        </c:scaling>
        <c:delete val="0"/>
        <c:axPos val="b"/>
        <c:numFmt formatCode="General" sourceLinked="0"/>
        <c:majorTickMark val="none"/>
        <c:minorTickMark val="none"/>
        <c:tickLblPos val="nextTo"/>
        <c:crossAx val="216808832"/>
        <c:crosses val="autoZero"/>
        <c:auto val="1"/>
        <c:lblAlgn val="ctr"/>
        <c:lblOffset val="100"/>
        <c:noMultiLvlLbl val="0"/>
      </c:catAx>
      <c:valAx>
        <c:axId val="216808832"/>
        <c:scaling>
          <c:orientation val="minMax"/>
        </c:scaling>
        <c:delete val="1"/>
        <c:axPos val="l"/>
        <c:numFmt formatCode="General" sourceLinked="1"/>
        <c:majorTickMark val="none"/>
        <c:minorTickMark val="none"/>
        <c:tickLblPos val="none"/>
        <c:crossAx val="216807296"/>
        <c:crosses val="autoZero"/>
        <c:crossBetween val="between"/>
      </c:valAx>
    </c:plotArea>
    <c:legend>
      <c:legendPos val="t"/>
      <c:overlay val="0"/>
    </c:legend>
    <c:plotVisOnly val="1"/>
    <c:dispBlanksAs val="zero"/>
    <c:showDLblsOverMax val="0"/>
  </c:chart>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'Relative Valuation'!$A$25</c:f>
              <c:strCache>
                <c:ptCount val="1"/>
                <c:pt idx="0">
                  <c:v>Operating Cash Flow Growth</c:v>
                </c:pt>
              </c:strCache>
            </c:strRef>
          </c:tx>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Valuation'!$B$25:$F$25</c:f>
              <c:numCache>
                <c:formatCode>0.00%</c:formatCode>
                <c:ptCount val="5"/>
                <c:pt idx="1">
                  <c:v>-7.2905932928724231E-3</c:v>
                </c:pt>
                <c:pt idx="2">
                  <c:v>4.838381686844679E-2</c:v>
                </c:pt>
                <c:pt idx="3">
                  <c:v>0.23831100992225251</c:v>
                </c:pt>
                <c:pt idx="4">
                  <c:v>-0.13162108972694142</c:v>
                </c:pt>
              </c:numCache>
            </c:numRef>
          </c:val>
          <c:smooth val="0"/>
          <c:extLst>
            <c:ext xmlns:c16="http://schemas.microsoft.com/office/drawing/2014/chart" uri="{C3380CC4-5D6E-409C-BE32-E72D297353CC}">
              <c16:uniqueId val="{00000000-A40F-40EE-ABAE-4B8308B5217E}"/>
            </c:ext>
          </c:extLst>
        </c:ser>
        <c:dLbls>
          <c:showLegendKey val="0"/>
          <c:showVal val="1"/>
          <c:showCatName val="0"/>
          <c:showSerName val="0"/>
          <c:showPercent val="0"/>
          <c:showBubbleSize val="0"/>
        </c:dLbls>
        <c:smooth val="0"/>
        <c:axId val="216855296"/>
        <c:axId val="216857984"/>
      </c:lineChart>
      <c:catAx>
        <c:axId val="216855296"/>
        <c:scaling>
          <c:orientation val="minMax"/>
        </c:scaling>
        <c:delete val="0"/>
        <c:axPos val="b"/>
        <c:numFmt formatCode="General" sourceLinked="0"/>
        <c:majorTickMark val="none"/>
        <c:minorTickMark val="none"/>
        <c:tickLblPos val="nextTo"/>
        <c:crossAx val="216857984"/>
        <c:crosses val="autoZero"/>
        <c:auto val="1"/>
        <c:lblAlgn val="ctr"/>
        <c:lblOffset val="100"/>
        <c:noMultiLvlLbl val="0"/>
      </c:catAx>
      <c:valAx>
        <c:axId val="216857984"/>
        <c:scaling>
          <c:orientation val="minMax"/>
        </c:scaling>
        <c:delete val="1"/>
        <c:axPos val="l"/>
        <c:numFmt formatCode="General" sourceLinked="1"/>
        <c:majorTickMark val="out"/>
        <c:minorTickMark val="none"/>
        <c:tickLblPos val="none"/>
        <c:crossAx val="216855296"/>
        <c:crosses val="autoZero"/>
        <c:crossBetween val="between"/>
      </c:valAx>
    </c:plotArea>
    <c:legend>
      <c:legendPos val="t"/>
      <c:overlay val="0"/>
    </c:legend>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title>
      <c:tx>
        <c:rich>
          <a:bodyPr/>
          <a:lstStyle/>
          <a:p>
            <a:pPr>
              <a:defRPr/>
            </a:pPr>
            <a:r>
              <a:rPr lang="en-US"/>
              <a:t>EPS and Dividend Growth</a:t>
            </a:r>
          </a:p>
        </c:rich>
      </c:tx>
      <c:overlay val="0"/>
    </c:title>
    <c:autoTitleDeleted val="0"/>
    <c:plotArea>
      <c:layout>
        <c:manualLayout>
          <c:layoutTarget val="inner"/>
          <c:xMode val="edge"/>
          <c:yMode val="edge"/>
          <c:x val="3.333333333333334E-2"/>
          <c:y val="0.29803732866724991"/>
          <c:w val="0.93888888888888955"/>
          <c:h val="0.6602960046660844"/>
        </c:manualLayout>
      </c:layout>
      <c:barChart>
        <c:barDir val="col"/>
        <c:grouping val="clustered"/>
        <c:varyColors val="0"/>
        <c:ser>
          <c:idx val="0"/>
          <c:order val="0"/>
          <c:tx>
            <c:strRef>
              <c:f>'Relative Valuation'!$A$21</c:f>
              <c:strCache>
                <c:ptCount val="1"/>
                <c:pt idx="0">
                  <c:v>EPS Growth</c:v>
                </c:pt>
              </c:strCache>
            </c:strRef>
          </c:tx>
          <c:invertIfNegative val="0"/>
          <c:dLbls>
            <c:dLbl>
              <c:idx val="4"/>
              <c:layout>
                <c:manualLayout>
                  <c:x val="-1.3888888888888911E-2"/>
                  <c:y val="2.3148512685914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4C-46BB-AE55-FEFE00159A9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Valuation'!$B$21:$F$21</c:f>
              <c:numCache>
                <c:formatCode>0.00%</c:formatCode>
                <c:ptCount val="5"/>
                <c:pt idx="1">
                  <c:v>0.15659955257270691</c:v>
                </c:pt>
                <c:pt idx="2">
                  <c:v>1.3539651837524234E-2</c:v>
                </c:pt>
                <c:pt idx="3">
                  <c:v>1.9720101781170514E-2</c:v>
                </c:pt>
                <c:pt idx="4">
                  <c:v>-1.3100436681222761E-2</c:v>
                </c:pt>
              </c:numCache>
            </c:numRef>
          </c:val>
          <c:extLst>
            <c:ext xmlns:c16="http://schemas.microsoft.com/office/drawing/2014/chart" uri="{C3380CC4-5D6E-409C-BE32-E72D297353CC}">
              <c16:uniqueId val="{00000001-CB4C-46BB-AE55-FEFE00159A91}"/>
            </c:ext>
          </c:extLst>
        </c:ser>
        <c:ser>
          <c:idx val="1"/>
          <c:order val="1"/>
          <c:tx>
            <c:strRef>
              <c:f>'Relative Valuation'!$A$22</c:f>
              <c:strCache>
                <c:ptCount val="1"/>
                <c:pt idx="0">
                  <c:v>Dividend Growth</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'Relative Valuation'!$B$3:$F$3</c:f>
              <c:strCache>
                <c:ptCount val="5"/>
                <c:pt idx="0">
                  <c:v>2015-2016</c:v>
                </c:pt>
                <c:pt idx="1">
                  <c:v>2016-2017</c:v>
                </c:pt>
                <c:pt idx="2">
                  <c:v>2017-2018</c:v>
                </c:pt>
                <c:pt idx="3">
                  <c:v>2018-2019</c:v>
                </c:pt>
                <c:pt idx="4">
                  <c:v>2019-2020</c:v>
                </c:pt>
              </c:strCache>
            </c:strRef>
          </c:cat>
          <c:val>
            <c:numRef>
              <c:f>'Relative Valuation'!$B$22:$F$22</c:f>
              <c:numCache>
                <c:formatCode>0.00%</c:formatCode>
                <c:ptCount val="5"/>
                <c:pt idx="1">
                  <c:v>0.5</c:v>
                </c:pt>
                <c:pt idx="2">
                  <c:v>-3.750000084190399E-2</c:v>
                </c:pt>
                <c:pt idx="3">
                  <c:v>0.10571428571428572</c:v>
                </c:pt>
                <c:pt idx="4">
                  <c:v>0.24833333278334627</c:v>
                </c:pt>
              </c:numCache>
            </c:numRef>
          </c:val>
          <c:extLst>
            <c:ext xmlns:c16="http://schemas.microsoft.com/office/drawing/2014/chart" uri="{C3380CC4-5D6E-409C-BE32-E72D297353CC}">
              <c16:uniqueId val="{00000002-CB4C-46BB-AE55-FEFE00159A91}"/>
            </c:ext>
          </c:extLst>
        </c:ser>
        <c:dLbls>
          <c:showLegendKey val="0"/>
          <c:showVal val="1"/>
          <c:showCatName val="0"/>
          <c:showSerName val="0"/>
          <c:showPercent val="0"/>
          <c:showBubbleSize val="0"/>
        </c:dLbls>
        <c:gapWidth val="150"/>
        <c:overlap val="-25"/>
        <c:axId val="217430656"/>
        <c:axId val="217432448"/>
      </c:barChart>
      <c:catAx>
        <c:axId val="217430656"/>
        <c:scaling>
          <c:orientation val="minMax"/>
        </c:scaling>
        <c:delete val="0"/>
        <c:axPos val="b"/>
        <c:numFmt formatCode="General" sourceLinked="0"/>
        <c:majorTickMark val="none"/>
        <c:minorTickMark val="none"/>
        <c:tickLblPos val="nextTo"/>
        <c:crossAx val="217432448"/>
        <c:crosses val="autoZero"/>
        <c:auto val="1"/>
        <c:lblAlgn val="ctr"/>
        <c:lblOffset val="100"/>
        <c:noMultiLvlLbl val="0"/>
      </c:catAx>
      <c:valAx>
        <c:axId val="217432448"/>
        <c:scaling>
          <c:orientation val="minMax"/>
        </c:scaling>
        <c:delete val="1"/>
        <c:axPos val="l"/>
        <c:numFmt formatCode="General" sourceLinked="1"/>
        <c:majorTickMark val="out"/>
        <c:minorTickMark val="none"/>
        <c:tickLblPos val="none"/>
        <c:crossAx val="217430656"/>
        <c:crosses val="autoZero"/>
        <c:crossBetween val="between"/>
      </c:valAx>
    </c:plotArea>
    <c:legend>
      <c:legendPos val="t"/>
      <c:overlay val="0"/>
    </c:legend>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Dividends</a:t>
            </a:r>
          </a:p>
        </c:rich>
      </c:tx>
      <c:layout>
        <c:manualLayout>
          <c:xMode val="edge"/>
          <c:yMode val="edge"/>
          <c:x val="0.40671328083989533"/>
          <c:y val="2.573381041071101E-2"/>
        </c:manualLayout>
      </c:layout>
      <c:overlay val="0"/>
      <c:spPr>
        <a:noFill/>
        <a:ln>
          <a:noFill/>
        </a:ln>
        <a:effectLst/>
      </c:spPr>
    </c:title>
    <c:autoTitleDeleted val="0"/>
    <c:plotArea>
      <c:layout>
        <c:manualLayout>
          <c:layoutTarget val="inner"/>
          <c:xMode val="edge"/>
          <c:yMode val="edge"/>
          <c:x val="0.31409826771653548"/>
          <c:y val="0.11702298312949475"/>
          <c:w val="0.57414216972878351"/>
          <c:h val="0.58905803441236448"/>
        </c:manualLayout>
      </c:layout>
      <c:barChart>
        <c:barDir val="col"/>
        <c:grouping val="clustered"/>
        <c:varyColors val="0"/>
        <c:ser>
          <c:idx val="0"/>
          <c:order val="0"/>
          <c:tx>
            <c:strRef>
              <c:f>'Relative Valuation'!$A$28</c:f>
              <c:strCache>
                <c:ptCount val="1"/>
                <c:pt idx="0">
                  <c:v>Dividends Paid </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'Relative Valuation'!$B$3:$F$4</c:f>
              <c:strCache>
                <c:ptCount val="5"/>
                <c:pt idx="0">
                  <c:v>2015-2016</c:v>
                </c:pt>
                <c:pt idx="1">
                  <c:v>2016-2017</c:v>
                </c:pt>
                <c:pt idx="2">
                  <c:v>2017-2018</c:v>
                </c:pt>
                <c:pt idx="3">
                  <c:v>2018-2019</c:v>
                </c:pt>
                <c:pt idx="4">
                  <c:v>2019-2020</c:v>
                </c:pt>
              </c:strCache>
            </c:strRef>
          </c:cat>
          <c:val>
            <c:numRef>
              <c:f>'Relative Valuation'!$B$28:$F$28</c:f>
              <c:numCache>
                <c:formatCode>#,##0</c:formatCode>
                <c:ptCount val="5"/>
                <c:pt idx="0">
                  <c:v>1662897456</c:v>
                </c:pt>
                <c:pt idx="1">
                  <c:v>2494346184</c:v>
                </c:pt>
                <c:pt idx="2">
                  <c:v>2400808200</c:v>
                </c:pt>
                <c:pt idx="3">
                  <c:v>2654607924</c:v>
                </c:pt>
                <c:pt idx="4">
                  <c:v>3313835557</c:v>
                </c:pt>
              </c:numCache>
            </c:numRef>
          </c:val>
          <c:extLst>
            <c:ext xmlns:c16="http://schemas.microsoft.com/office/drawing/2014/chart" uri="{C3380CC4-5D6E-409C-BE32-E72D297353CC}">
              <c16:uniqueId val="{00000000-234F-401B-80CF-3FBF9F6D9199}"/>
            </c:ext>
          </c:extLst>
        </c:ser>
        <c:dLbls>
          <c:showLegendKey val="0"/>
          <c:showVal val="0"/>
          <c:showCatName val="0"/>
          <c:showSerName val="0"/>
          <c:showPercent val="0"/>
          <c:showBubbleSize val="0"/>
        </c:dLbls>
        <c:gapWidth val="269"/>
        <c:axId val="218797952"/>
        <c:axId val="218799488"/>
      </c:barChart>
      <c:lineChart>
        <c:grouping val="standard"/>
        <c:varyColors val="0"/>
        <c:ser>
          <c:idx val="1"/>
          <c:order val="1"/>
          <c:tx>
            <c:strRef>
              <c:f>'Relative Valuation'!$A$29</c:f>
              <c:strCache>
                <c:ptCount val="1"/>
                <c:pt idx="0">
                  <c:v>Dividend Payout Rate</c:v>
                </c:pt>
              </c:strCache>
            </c:strRef>
          </c:tx>
          <c:spPr>
            <a:ln w="34925" cap="rnd">
              <a:solidFill>
                <a:schemeClr val="accent2"/>
              </a:solidFill>
              <a:round/>
            </a:ln>
            <a:effectLst>
              <a:outerShdw blurRad="76200" dist="25400" dir="5400000" algn="ctr" rotWithShape="0">
                <a:srgbClr val="000000">
                  <a:alpha val="60000"/>
                </a:srgbClr>
              </a:outerShdw>
            </a:effectLst>
          </c:spPr>
          <c:marker>
            <c:symbol val="none"/>
          </c:marker>
          <c:val>
            <c:numRef>
              <c:f>'Relative Valuation'!$B$29:$F$29</c:f>
              <c:numCache>
                <c:formatCode>0.00%</c:formatCode>
                <c:ptCount val="5"/>
                <c:pt idx="0">
                  <c:v>0.18075583440077975</c:v>
                </c:pt>
                <c:pt idx="1">
                  <c:v>0.22722213507975861</c:v>
                </c:pt>
                <c:pt idx="2">
                  <c:v>0.21432148359480255</c:v>
                </c:pt>
                <c:pt idx="3">
                  <c:v>0.21060335491428164</c:v>
                </c:pt>
                <c:pt idx="4">
                  <c:v>0.26013182758203446</c:v>
                </c:pt>
              </c:numCache>
            </c:numRef>
          </c:val>
          <c:smooth val="0"/>
          <c:extLst>
            <c:ext xmlns:c16="http://schemas.microsoft.com/office/drawing/2014/chart" uri="{C3380CC4-5D6E-409C-BE32-E72D297353CC}">
              <c16:uniqueId val="{00000001-234F-401B-80CF-3FBF9F6D9199}"/>
            </c:ext>
          </c:extLst>
        </c:ser>
        <c:dLbls>
          <c:showLegendKey val="0"/>
          <c:showVal val="0"/>
          <c:showCatName val="0"/>
          <c:showSerName val="0"/>
          <c:showPercent val="0"/>
          <c:showBubbleSize val="0"/>
        </c:dLbls>
        <c:marker val="1"/>
        <c:smooth val="0"/>
        <c:axId val="218819200"/>
        <c:axId val="218817664"/>
      </c:lineChart>
      <c:catAx>
        <c:axId val="218797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99488"/>
        <c:crosses val="autoZero"/>
        <c:auto val="1"/>
        <c:lblAlgn val="ctr"/>
        <c:lblOffset val="100"/>
        <c:noMultiLvlLbl val="0"/>
      </c:catAx>
      <c:valAx>
        <c:axId val="218799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97952"/>
        <c:crosses val="autoZero"/>
        <c:crossBetween val="between"/>
      </c:valAx>
      <c:valAx>
        <c:axId val="21881766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819200"/>
        <c:crosses val="max"/>
        <c:crossBetween val="between"/>
      </c:valAx>
      <c:catAx>
        <c:axId val="218819200"/>
        <c:scaling>
          <c:orientation val="minMax"/>
        </c:scaling>
        <c:delete val="1"/>
        <c:axPos val="b"/>
        <c:majorTickMark val="none"/>
        <c:minorTickMark val="none"/>
        <c:tickLblPos val="none"/>
        <c:crossAx val="21881766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Dividend History</a:t>
            </a:r>
          </a:p>
        </c:rich>
      </c:tx>
      <c:layout>
        <c:manualLayout>
          <c:xMode val="edge"/>
          <c:yMode val="edge"/>
          <c:x val="0.35377961803153463"/>
          <c:y val="2.276422861379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'Implied Cost of Equity (Gordon)'!$C$9</c:f>
              <c:strCache>
                <c:ptCount val="1"/>
                <c:pt idx="0">
                  <c:v>Cash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'Implied Cost of Equity (Gordon)'!$D$9:$H$9</c:f>
              <c:numCache>
                <c:formatCode>0%</c:formatCode>
                <c:ptCount val="5"/>
                <c:pt idx="0">
                  <c:v>0.4</c:v>
                </c:pt>
                <c:pt idx="1">
                  <c:v>0.35</c:v>
                </c:pt>
                <c:pt idx="2">
                  <c:v>0.36</c:v>
                </c:pt>
                <c:pt idx="3">
                  <c:v>0.42</c:v>
                </c:pt>
                <c:pt idx="4">
                  <c:v>0.47</c:v>
                </c:pt>
              </c:numCache>
            </c:numRef>
          </c:val>
          <c:smooth val="0"/>
          <c:extLst>
            <c:ext xmlns:c16="http://schemas.microsoft.com/office/drawing/2014/chart" uri="{C3380CC4-5D6E-409C-BE32-E72D297353CC}">
              <c16:uniqueId val="{00000000-08C2-4AF9-B17F-77E6F2048443}"/>
            </c:ext>
          </c:extLst>
        </c:ser>
        <c:ser>
          <c:idx val="1"/>
          <c:order val="1"/>
          <c:tx>
            <c:strRef>
              <c:f>'Implied Cost of Equity (Gordon)'!$C$10</c:f>
              <c:strCache>
                <c:ptCount val="1"/>
                <c:pt idx="0">
                  <c:v>Stock (%)</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'Implied Cost of Equity (Gordon)'!$D$10:$H$10</c:f>
              <c:numCache>
                <c:formatCode>0.0%</c:formatCode>
                <c:ptCount val="5"/>
                <c:pt idx="0" formatCode="0%">
                  <c:v>0.1</c:v>
                </c:pt>
                <c:pt idx="1">
                  <c:v>7.4999999999999997E-2</c:v>
                </c:pt>
                <c:pt idx="2" formatCode="0%">
                  <c:v>7.0000000000000007E-2</c:v>
                </c:pt>
                <c:pt idx="3" formatCode="0%">
                  <c:v>7.0000000000000007E-2</c:v>
                </c:pt>
                <c:pt idx="4" formatCode="0%">
                  <c:v>0.05</c:v>
                </c:pt>
              </c:numCache>
            </c:numRef>
          </c:val>
          <c:smooth val="0"/>
          <c:extLst>
            <c:ext xmlns:c16="http://schemas.microsoft.com/office/drawing/2014/chart" uri="{C3380CC4-5D6E-409C-BE32-E72D297353CC}">
              <c16:uniqueId val="{00000001-08C2-4AF9-B17F-77E6F2048443}"/>
            </c:ext>
          </c:extLst>
        </c:ser>
        <c:dLbls>
          <c:dLblPos val="ctr"/>
          <c:showLegendKey val="0"/>
          <c:showVal val="1"/>
          <c:showCatName val="0"/>
          <c:showSerName val="0"/>
          <c:showPercent val="0"/>
          <c:showBubbleSize val="0"/>
        </c:dLbls>
        <c:marker val="1"/>
        <c:smooth val="0"/>
        <c:axId val="213689088"/>
        <c:axId val="213690624"/>
      </c:lineChart>
      <c:catAx>
        <c:axId val="21368908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690624"/>
        <c:crosses val="autoZero"/>
        <c:auto val="1"/>
        <c:lblAlgn val="ctr"/>
        <c:lblOffset val="100"/>
        <c:noMultiLvlLbl val="0"/>
      </c:catAx>
      <c:valAx>
        <c:axId val="2136906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136890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'DCF (CCF)'!$B$26</c:f>
              <c:strCache>
                <c:ptCount val="1"/>
                <c:pt idx="0">
                  <c:v>FCF</c:v>
                </c:pt>
              </c:strCache>
            </c:strRef>
          </c:tx>
          <c:spPr>
            <a:solidFill>
              <a:schemeClr val="accent1"/>
            </a:solidFill>
            <a:ln>
              <a:noFill/>
            </a:ln>
            <a:effectLst/>
          </c:spPr>
          <c:invertIfNegative val="0"/>
          <c:val>
            <c:numRef>
              <c:f>'DCF (CCF)'!$C$26:$G$26</c:f>
              <c:numCache>
                <c:formatCode>#,##0</c:formatCode>
                <c:ptCount val="5"/>
                <c:pt idx="0">
                  <c:v>7028428236.8467369</c:v>
                </c:pt>
                <c:pt idx="1">
                  <c:v>7015152384.0037355</c:v>
                </c:pt>
                <c:pt idx="2">
                  <c:v>6889019175.5265408</c:v>
                </c:pt>
                <c:pt idx="3">
                  <c:v>10409919479.211237</c:v>
                </c:pt>
                <c:pt idx="4">
                  <c:v>8779489949.426178</c:v>
                </c:pt>
              </c:numCache>
            </c:numRef>
          </c:val>
          <c:extLst>
            <c:ext xmlns:c16="http://schemas.microsoft.com/office/drawing/2014/chart" uri="{C3380CC4-5D6E-409C-BE32-E72D297353CC}">
              <c16:uniqueId val="{00000000-CDEE-42C6-B5AE-81FA20DAFC10}"/>
            </c:ext>
          </c:extLst>
        </c:ser>
        <c:dLbls>
          <c:showLegendKey val="0"/>
          <c:showVal val="0"/>
          <c:showCatName val="0"/>
          <c:showSerName val="0"/>
          <c:showPercent val="0"/>
          <c:showBubbleSize val="0"/>
        </c:dLbls>
        <c:gapWidth val="199"/>
        <c:axId val="1938578400"/>
        <c:axId val="1938582976"/>
      </c:barChart>
      <c:catAx>
        <c:axId val="193857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38582976"/>
        <c:crosses val="autoZero"/>
        <c:auto val="1"/>
        <c:lblAlgn val="ctr"/>
        <c:lblOffset val="100"/>
        <c:noMultiLvlLbl val="0"/>
      </c:catAx>
      <c:valAx>
        <c:axId val="19385829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'DCF (Pro-forma)'!$B$90:$F$90</c:f>
              <c:strCache>
                <c:ptCount val="5"/>
                <c:pt idx="0">
                  <c:v>Pro-forma Free Cash Flows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'DCF (Pro-forma)'!$C$91:$F$91</c:f>
              <c:numCache>
                <c:formatCode>General</c:formatCode>
                <c:ptCount val="4"/>
                <c:pt idx="0">
                  <c:v>2021</c:v>
                </c:pt>
                <c:pt idx="1">
                  <c:v>2022</c:v>
                </c:pt>
                <c:pt idx="2">
                  <c:v>2023</c:v>
                </c:pt>
                <c:pt idx="3">
                  <c:v>2024</c:v>
                </c:pt>
              </c:numCache>
            </c:numRef>
          </c:cat>
          <c:val>
            <c:numRef>
              <c:f>'DCF (Pro-forma)'!$C$100:$F$100</c:f>
              <c:numCache>
                <c:formatCode>#,##0_);\(#,##0\)</c:formatCode>
                <c:ptCount val="4"/>
                <c:pt idx="0">
                  <c:v>3518488407.0943336</c:v>
                </c:pt>
                <c:pt idx="1">
                  <c:v>9309470360.9491291</c:v>
                </c:pt>
                <c:pt idx="2">
                  <c:v>10009072169.481689</c:v>
                </c:pt>
                <c:pt idx="3">
                  <c:v>11049815900.944241</c:v>
                </c:pt>
              </c:numCache>
            </c:numRef>
          </c:val>
          <c:extLst>
            <c:ext xmlns:c16="http://schemas.microsoft.com/office/drawing/2014/chart" uri="{C3380CC4-5D6E-409C-BE32-E72D297353CC}">
              <c16:uniqueId val="{00000000-9DB4-4B09-B4EA-14234C9979C9}"/>
            </c:ext>
          </c:extLst>
        </c:ser>
        <c:dLbls>
          <c:showLegendKey val="0"/>
          <c:showVal val="1"/>
          <c:showCatName val="0"/>
          <c:showSerName val="0"/>
          <c:showPercent val="0"/>
          <c:showBubbleSize val="0"/>
        </c:dLbls>
        <c:gapWidth val="84"/>
        <c:gapDepth val="53"/>
        <c:shape val="box"/>
        <c:axId val="1550283119"/>
        <c:axId val="1550287695"/>
        <c:axId val="0"/>
      </c:bar3DChart>
      <c:catAx>
        <c:axId val="155028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0287695"/>
        <c:crosses val="autoZero"/>
        <c:auto val="1"/>
        <c:lblAlgn val="ctr"/>
        <c:lblOffset val="100"/>
        <c:noMultiLvlLbl val="0"/>
      </c:catAx>
      <c:valAx>
        <c:axId val="1550287695"/>
        <c:scaling>
          <c:orientation val="minMax"/>
        </c:scaling>
        <c:delete val="1"/>
        <c:axPos val="l"/>
        <c:numFmt formatCode="#,##0_);\(#,##0\)" sourceLinked="1"/>
        <c:majorTickMark val="out"/>
        <c:minorTickMark val="none"/>
        <c:tickLblPos val="nextTo"/>
        <c:crossAx val="15502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2110740</xdr:colOff>
      <xdr:row>14</xdr:row>
      <xdr:rowOff>152400</xdr:rowOff>
    </xdr:from>
    <xdr:to>
      <xdr:col>7</xdr:col>
      <xdr:colOff>502920</xdr:colOff>
      <xdr:row>20</xdr:row>
      <xdr:rowOff>56029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385409" y="2841812"/>
          <a:ext cx="9500011" cy="145844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2000" b="1" u="sng">
              <a:solidFill>
                <a:schemeClr val="bg1"/>
              </a:solidFill>
              <a:latin typeface="+mn-lt"/>
              <a:ea typeface="+mn-ea"/>
              <a:cs typeface="+mn-cs"/>
            </a:rPr>
            <a:t>Submitted to</a:t>
          </a:r>
        </a:p>
        <a:p>
          <a:pPr algn="ctr"/>
          <a:r>
            <a:rPr lang="en-US" sz="1800" b="1" i="0">
              <a:solidFill>
                <a:schemeClr val="bg1"/>
              </a:solidFill>
              <a:effectLst/>
              <a:latin typeface="+mn-lt"/>
              <a:ea typeface="+mn-ea"/>
              <a:cs typeface="+mn-cs"/>
            </a:rPr>
            <a:t>Research and Analysis Team</a:t>
          </a:r>
        </a:p>
        <a:p>
          <a:pPr algn="ctr"/>
          <a:r>
            <a:rPr lang="en-US" sz="1800" b="1" i="0">
              <a:solidFill>
                <a:schemeClr val="bg1"/>
              </a:solidFill>
              <a:effectLst/>
              <a:latin typeface="+mn-lt"/>
              <a:ea typeface="+mn-ea"/>
              <a:cs typeface="+mn-cs"/>
            </a:rPr>
            <a:t>Universal Financial Solutions Limited (UFS)</a:t>
          </a:r>
        </a:p>
      </xdr:txBody>
    </xdr:sp>
    <xdr:clientData/>
  </xdr:twoCellAnchor>
  <xdr:twoCellAnchor editAs="oneCell">
    <xdr:from>
      <xdr:col>3</xdr:col>
      <xdr:colOff>1993975</xdr:colOff>
      <xdr:row>2</xdr:row>
      <xdr:rowOff>51771</xdr:rowOff>
    </xdr:from>
    <xdr:to>
      <xdr:col>5</xdr:col>
      <xdr:colOff>732747</xdr:colOff>
      <xdr:row>9</xdr:row>
      <xdr:rowOff>158054</xdr:rowOff>
    </xdr:to>
    <xdr:pic>
      <xdr:nvPicPr>
        <xdr:cNvPr id="4" name="Picture 3">
          <a:extLst>
            <a:ext uri="{FF2B5EF4-FFF2-40B4-BE49-F238E27FC236}">
              <a16:creationId xmlns:a16="http://schemas.microsoft.com/office/drawing/2014/main" id="{6F1FD9C2-43DA-44BA-A123-519B5B137DDC}"/>
            </a:ext>
          </a:extLst>
        </xdr:cNvPr>
        <xdr:cNvPicPr>
          <a:picLocks noChangeAspect="1"/>
        </xdr:cNvPicPr>
      </xdr:nvPicPr>
      <xdr:blipFill>
        <a:blip xmlns:r="http://schemas.openxmlformats.org/officeDocument/2006/relationships" r:embed="rId1"/>
        <a:stretch>
          <a:fillRect/>
        </a:stretch>
      </xdr:blipFill>
      <xdr:spPr>
        <a:xfrm>
          <a:off x="5579857" y="429970"/>
          <a:ext cx="4523809" cy="13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1709615</xdr:colOff>
      <xdr:row>27</xdr:row>
      <xdr:rowOff>85836</xdr:rowOff>
    </xdr:from>
    <xdr:ext cx="5887169" cy="1706936"/>
    <xdr:sp macro="" textlink="">
      <xdr:nvSpPr>
        <xdr:cNvPr id="2" name="Shape 3">
          <a:extLst>
            <a:ext uri="{FF2B5EF4-FFF2-40B4-BE49-F238E27FC236}">
              <a16:creationId xmlns:a16="http://schemas.microsoft.com/office/drawing/2014/main" id="{00000000-0008-0000-0400-000002000000}"/>
            </a:ext>
          </a:extLst>
        </xdr:cNvPr>
        <xdr:cNvSpPr txBox="1"/>
      </xdr:nvSpPr>
      <xdr:spPr>
        <a:xfrm>
          <a:off x="11126785" y="5513289"/>
          <a:ext cx="5887169" cy="1706936"/>
        </a:xfrm>
        <a:prstGeom prst="rect">
          <a:avLst/>
        </a:prstGeom>
        <a:solidFill>
          <a:schemeClr val="bg1">
            <a:lumMod val="85000"/>
          </a:schemeClr>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a:solidFill>
              <a:schemeClr val="dk1"/>
            </a:solidFill>
            <a:latin typeface="Twentieth Century"/>
            <a:ea typeface="Twentieth Century"/>
            <a:cs typeface="Twentieth Century"/>
            <a:sym typeface="Twentieth Century"/>
          </a:endParaRPr>
        </a:p>
        <a:p>
          <a:pPr marL="0" lvl="0" indent="0" algn="l" rtl="0">
            <a:spcBef>
              <a:spcPts val="0"/>
            </a:spcBef>
            <a:spcAft>
              <a:spcPts val="0"/>
            </a:spcAft>
            <a:buNone/>
          </a:pPr>
          <a:r>
            <a:rPr lang="en-US" sz="1200" b="1" i="1">
              <a:solidFill>
                <a:schemeClr val="dk1"/>
              </a:solidFill>
              <a:latin typeface="Twentieth Century"/>
              <a:ea typeface="Twentieth Century"/>
              <a:cs typeface="Twentieth Century"/>
              <a:sym typeface="Twentieth Century"/>
            </a:rPr>
            <a:t>Dividends paid</a:t>
          </a:r>
          <a:r>
            <a:rPr lang="en-US" sz="1200">
              <a:solidFill>
                <a:schemeClr val="dk1"/>
              </a:solidFill>
              <a:latin typeface="Twentieth Century"/>
              <a:ea typeface="Twentieth Century"/>
              <a:cs typeface="Twentieth Century"/>
              <a:sym typeface="Twentieth Century"/>
            </a:rPr>
            <a:t>: With the exception of FY 2017-2018, </a:t>
          </a:r>
          <a:r>
            <a:rPr lang="en-US" sz="1100">
              <a:effectLst/>
              <a:latin typeface="+mn-lt"/>
              <a:ea typeface="+mn-ea"/>
              <a:cs typeface="+mn-cs"/>
            </a:rPr>
            <a:t>Square Pharmaceuticals has</a:t>
          </a:r>
          <a:r>
            <a:rPr lang="en-US" sz="1200">
              <a:solidFill>
                <a:schemeClr val="dk1"/>
              </a:solidFill>
              <a:latin typeface="Twentieth Century"/>
              <a:ea typeface="Twentieth Century"/>
              <a:cs typeface="Twentieth Century"/>
              <a:sym typeface="Twentieth Century"/>
            </a:rPr>
            <a:t> mostly paid a higher amount of dividend pretty consistently each year compared to the previous. Growth</a:t>
          </a:r>
          <a:r>
            <a:rPr lang="en-US" sz="1200" baseline="0">
              <a:solidFill>
                <a:schemeClr val="dk1"/>
              </a:solidFill>
              <a:latin typeface="Twentieth Century"/>
              <a:ea typeface="Twentieth Century"/>
              <a:cs typeface="Twentieth Century"/>
              <a:sym typeface="Twentieth Century"/>
            </a:rPr>
            <a:t> in dividend amount and percentage of dividend given indicates to it being an attractive investment.</a:t>
          </a:r>
        </a:p>
        <a:p>
          <a:pPr marL="0" lvl="0" indent="0" algn="l" rtl="0">
            <a:spcBef>
              <a:spcPts val="0"/>
            </a:spcBef>
            <a:spcAft>
              <a:spcPts val="0"/>
            </a:spcAft>
            <a:buNone/>
          </a:pPr>
          <a:r>
            <a:rPr lang="en-US" sz="1200" b="1" i="1">
              <a:solidFill>
                <a:schemeClr val="dk1"/>
              </a:solidFill>
              <a:latin typeface="Twentieth Century"/>
              <a:ea typeface="Twentieth Century"/>
              <a:cs typeface="Twentieth Century"/>
              <a:sym typeface="Twentieth Century"/>
            </a:rPr>
            <a:t>Dividend payout rate</a:t>
          </a:r>
          <a:r>
            <a:rPr lang="en-US" sz="1200">
              <a:solidFill>
                <a:schemeClr val="dk1"/>
              </a:solidFill>
              <a:latin typeface="Twentieth Century"/>
              <a:ea typeface="Twentieth Century"/>
              <a:cs typeface="Twentieth Century"/>
              <a:sym typeface="Twentieth Century"/>
            </a:rPr>
            <a:t>: </a:t>
          </a:r>
          <a:r>
            <a:rPr lang="en-US" sz="1100">
              <a:effectLst/>
              <a:latin typeface="+mn-lt"/>
              <a:ea typeface="+mn-ea"/>
              <a:cs typeface="+mn-cs"/>
            </a:rPr>
            <a:t>Square Pharmaceuticals</a:t>
          </a:r>
          <a:r>
            <a:rPr lang="en-US" sz="1200">
              <a:solidFill>
                <a:schemeClr val="dk1"/>
              </a:solidFill>
              <a:latin typeface="Twentieth Century"/>
              <a:ea typeface="Twentieth Century"/>
              <a:cs typeface="Twentieth Century"/>
              <a:sym typeface="Twentieth Century"/>
            </a:rPr>
            <a:t> has paid investors between 18% - 26% of its net income in the form of dividends each year. Though the rate has increased significantly last year but this rate has not been increasing consistently despite the continuous growth in net income, indicating that the company</a:t>
          </a:r>
          <a:r>
            <a:rPr lang="en-US" sz="1200" baseline="0">
              <a:solidFill>
                <a:schemeClr val="dk1"/>
              </a:solidFill>
              <a:latin typeface="Twentieth Century"/>
              <a:ea typeface="Twentieth Century"/>
              <a:cs typeface="Twentieth Century"/>
              <a:sym typeface="Twentieth Century"/>
            </a:rPr>
            <a:t> often prioritizes increasing retained earnings rather than dividend payout.</a:t>
          </a:r>
          <a:r>
            <a:rPr lang="en-US" sz="1200">
              <a:solidFill>
                <a:schemeClr val="dk1"/>
              </a:solidFill>
              <a:latin typeface="Twentieth Century"/>
              <a:ea typeface="Twentieth Century"/>
              <a:cs typeface="Twentieth Century"/>
              <a:sym typeface="Twentieth Century"/>
            </a:rPr>
            <a:t> </a:t>
          </a:r>
          <a:endParaRPr sz="1200">
            <a:solidFill>
              <a:schemeClr val="dk1"/>
            </a:solidFill>
            <a:latin typeface="Twentieth Century"/>
            <a:ea typeface="Twentieth Century"/>
            <a:cs typeface="Twentieth Century"/>
            <a:sym typeface="Twentieth Century"/>
          </a:endParaRPr>
        </a:p>
        <a:p>
          <a:pPr marL="0" lvl="0" indent="0" algn="l" rtl="0">
            <a:spcBef>
              <a:spcPts val="0"/>
            </a:spcBef>
            <a:spcAft>
              <a:spcPts val="0"/>
            </a:spcAft>
            <a:buNone/>
          </a:pPr>
          <a:endParaRPr sz="1400"/>
        </a:p>
      </xdr:txBody>
    </xdr:sp>
    <xdr:clientData fLocksWithSheet="0"/>
  </xdr:oneCellAnchor>
  <xdr:twoCellAnchor>
    <xdr:from>
      <xdr:col>0</xdr:col>
      <xdr:colOff>333376</xdr:colOff>
      <xdr:row>30</xdr:row>
      <xdr:rowOff>164306</xdr:rowOff>
    </xdr:from>
    <xdr:to>
      <xdr:col>2</xdr:col>
      <xdr:colOff>226218</xdr:colOff>
      <xdr:row>49</xdr:row>
      <xdr:rowOff>59530</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857250</xdr:colOff>
      <xdr:row>30</xdr:row>
      <xdr:rowOff>157162</xdr:rowOff>
    </xdr:from>
    <xdr:to>
      <xdr:col>6</xdr:col>
      <xdr:colOff>904876</xdr:colOff>
      <xdr:row>49</xdr:row>
      <xdr:rowOff>47625</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338138</xdr:colOff>
      <xdr:row>52</xdr:row>
      <xdr:rowOff>7142</xdr:rowOff>
    </xdr:from>
    <xdr:to>
      <xdr:col>2</xdr:col>
      <xdr:colOff>190499</xdr:colOff>
      <xdr:row>68</xdr:row>
      <xdr:rowOff>11905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833437</xdr:colOff>
      <xdr:row>52</xdr:row>
      <xdr:rowOff>0</xdr:rowOff>
    </xdr:from>
    <xdr:to>
      <xdr:col>6</xdr:col>
      <xdr:colOff>881061</xdr:colOff>
      <xdr:row>67</xdr:row>
      <xdr:rowOff>142876</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1321593</xdr:colOff>
      <xdr:row>51</xdr:row>
      <xdr:rowOff>166687</xdr:rowOff>
    </xdr:from>
    <xdr:to>
      <xdr:col>13</xdr:col>
      <xdr:colOff>357188</xdr:colOff>
      <xdr:row>68</xdr:row>
      <xdr:rowOff>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257174</xdr:colOff>
      <xdr:row>70</xdr:row>
      <xdr:rowOff>109536</xdr:rowOff>
    </xdr:from>
    <xdr:to>
      <xdr:col>2</xdr:col>
      <xdr:colOff>178592</xdr:colOff>
      <xdr:row>88</xdr:row>
      <xdr:rowOff>154781</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892968</xdr:colOff>
      <xdr:row>70</xdr:row>
      <xdr:rowOff>122631</xdr:rowOff>
    </xdr:from>
    <xdr:to>
      <xdr:col>6</xdr:col>
      <xdr:colOff>1226343</xdr:colOff>
      <xdr:row>88</xdr:row>
      <xdr:rowOff>154781</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478517</xdr:colOff>
      <xdr:row>1</xdr:row>
      <xdr:rowOff>28575</xdr:rowOff>
    </xdr:from>
    <xdr:to>
      <xdr:col>17</xdr:col>
      <xdr:colOff>244475</xdr:colOff>
      <xdr:row>7</xdr:row>
      <xdr:rowOff>134937</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1852955" y="330200"/>
          <a:ext cx="6274708" cy="14160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200" b="1" i="1">
              <a:solidFill>
                <a:schemeClr val="tx1"/>
              </a:solidFill>
              <a:effectLst/>
              <a:latin typeface="+mn-lt"/>
              <a:ea typeface="+mn-ea"/>
              <a:cs typeface="+mn-cs"/>
            </a:rPr>
            <a:t>Gross margin</a:t>
          </a:r>
          <a:r>
            <a:rPr lang="en-US" sz="1200">
              <a:solidFill>
                <a:schemeClr val="tx1"/>
              </a:solidFill>
              <a:effectLst/>
              <a:latin typeface="+mn-lt"/>
              <a:ea typeface="+mn-ea"/>
              <a:cs typeface="+mn-cs"/>
            </a:rPr>
            <a:t>- remained</a:t>
          </a:r>
          <a:r>
            <a:rPr lang="en-US" sz="1200" baseline="0">
              <a:solidFill>
                <a:schemeClr val="tx1"/>
              </a:solidFill>
              <a:effectLst/>
              <a:latin typeface="+mn-lt"/>
              <a:ea typeface="+mn-ea"/>
              <a:cs typeface="+mn-cs"/>
            </a:rPr>
            <a:t> quite stable but in FI 2019-2020 it has increased</a:t>
          </a:r>
          <a:r>
            <a:rPr lang="en-US" sz="1200">
              <a:solidFill>
                <a:schemeClr val="tx1"/>
              </a:solidFill>
              <a:effectLst/>
              <a:latin typeface="+mn-lt"/>
              <a:ea typeface="+mn-ea"/>
              <a:cs typeface="+mn-cs"/>
            </a:rPr>
            <a:t>, indicating that the cost of sales decreased more compared to the net revenue. </a:t>
          </a:r>
        </a:p>
        <a:p>
          <a:pPr marL="0" marR="0" indent="0" defTabSz="914400" rtl="0" eaLnBrk="1" fontAlgn="auto" latinLnBrk="0" hangingPunct="1">
            <a:lnSpc>
              <a:spcPct val="100000"/>
            </a:lnSpc>
            <a:spcBef>
              <a:spcPts val="0"/>
            </a:spcBef>
            <a:spcAft>
              <a:spcPts val="0"/>
            </a:spcAft>
            <a:buClrTx/>
            <a:buSzTx/>
            <a:buFontTx/>
            <a:buNone/>
            <a:tabLst/>
            <a:defRPr/>
          </a:pPr>
          <a:r>
            <a:rPr lang="en-US" sz="1200" b="1" i="1">
              <a:solidFill>
                <a:schemeClr val="tx1"/>
              </a:solidFill>
              <a:effectLst/>
              <a:latin typeface="+mn-lt"/>
              <a:ea typeface="+mn-ea"/>
              <a:cs typeface="+mn-cs"/>
            </a:rPr>
            <a:t>Operating margin</a:t>
          </a:r>
          <a:r>
            <a:rPr lang="en-US" sz="1200">
              <a:solidFill>
                <a:schemeClr val="tx1"/>
              </a:solidFill>
              <a:effectLst/>
              <a:latin typeface="+mn-lt"/>
              <a:ea typeface="+mn-ea"/>
              <a:cs typeface="+mn-cs"/>
            </a:rPr>
            <a:t>- It decreased compared to the last year. This means Square Pharmaceuticals couldn't</a:t>
          </a:r>
          <a:r>
            <a:rPr lang="en-US" sz="1200" baseline="0">
              <a:solidFill>
                <a:schemeClr val="tx1"/>
              </a:solidFill>
              <a:effectLst/>
              <a:latin typeface="+mn-lt"/>
              <a:ea typeface="+mn-ea"/>
              <a:cs typeface="+mn-cs"/>
            </a:rPr>
            <a:t> grow its customer base and revenue over time to offset its operational cost</a:t>
          </a:r>
          <a:r>
            <a:rPr lang="en-US" sz="1200">
              <a:solidFill>
                <a:schemeClr val="tx1"/>
              </a:solidFill>
              <a:effectLst/>
              <a:latin typeface="+mn-lt"/>
              <a:ea typeface="+mn-ea"/>
              <a:cs typeface="+mn-cs"/>
            </a:rPr>
            <a:t>. Though,</a:t>
          </a:r>
          <a:r>
            <a:rPr lang="en-US" sz="1200" baseline="0">
              <a:solidFill>
                <a:schemeClr val="tx1"/>
              </a:solidFill>
              <a:effectLst/>
              <a:latin typeface="+mn-lt"/>
              <a:ea typeface="+mn-ea"/>
              <a:cs typeface="+mn-cs"/>
            </a:rPr>
            <a:t> </a:t>
          </a:r>
          <a:r>
            <a:rPr lang="en-US" sz="1100">
              <a:solidFill>
                <a:schemeClr val="dk1"/>
              </a:solidFill>
              <a:effectLst/>
              <a:latin typeface="+mn-lt"/>
              <a:ea typeface="+mn-ea"/>
              <a:cs typeface="+mn-cs"/>
            </a:rPr>
            <a:t>Square Pharmaceuticals </a:t>
          </a:r>
          <a:r>
            <a:rPr lang="en-US" sz="1200">
              <a:solidFill>
                <a:schemeClr val="tx1"/>
              </a:solidFill>
              <a:effectLst/>
              <a:latin typeface="+mn-lt"/>
              <a:ea typeface="+mn-ea"/>
              <a:cs typeface="+mn-cs"/>
            </a:rPr>
            <a:t> had a fairly consistent operating margin of 32% in </a:t>
          </a:r>
          <a:r>
            <a:rPr lang="en-US" sz="1100">
              <a:solidFill>
                <a:schemeClr val="tx1"/>
              </a:solidFill>
              <a:effectLst/>
              <a:latin typeface="+mn-lt"/>
              <a:ea typeface="+mn-ea"/>
              <a:cs typeface="+mn-cs"/>
            </a:rPr>
            <a:t>the last three years.</a:t>
          </a:r>
        </a:p>
        <a:p>
          <a:pPr marL="0" marR="0" indent="0" defTabSz="914400" rtl="0" eaLnBrk="1" fontAlgn="auto" latinLnBrk="0" hangingPunct="1">
            <a:lnSpc>
              <a:spcPct val="100000"/>
            </a:lnSpc>
            <a:spcBef>
              <a:spcPts val="0"/>
            </a:spcBef>
            <a:spcAft>
              <a:spcPts val="0"/>
            </a:spcAft>
            <a:buClrTx/>
            <a:buSzTx/>
            <a:buFontTx/>
            <a:buNone/>
            <a:tabLst/>
            <a:defRPr/>
          </a:pPr>
          <a:r>
            <a:rPr lang="en-US" sz="1200" b="1" i="1">
              <a:solidFill>
                <a:schemeClr val="tx1"/>
              </a:solidFill>
              <a:effectLst/>
              <a:latin typeface="+mn-lt"/>
              <a:ea typeface="+mn-ea"/>
              <a:cs typeface="+mn-cs"/>
            </a:rPr>
            <a:t>EBT</a:t>
          </a:r>
          <a:r>
            <a:rPr lang="en-US" sz="1100" b="1" i="1">
              <a:solidFill>
                <a:schemeClr val="tx1"/>
              </a:solidFill>
              <a:effectLst/>
              <a:latin typeface="+mn-lt"/>
              <a:ea typeface="+mn-ea"/>
              <a:cs typeface="+mn-cs"/>
            </a:rPr>
            <a:t> </a:t>
          </a:r>
          <a:r>
            <a:rPr lang="en-US" sz="1200" b="1" i="1">
              <a:solidFill>
                <a:schemeClr val="tx1"/>
              </a:solidFill>
              <a:effectLst/>
              <a:latin typeface="+mn-lt"/>
              <a:ea typeface="+mn-ea"/>
              <a:cs typeface="+mn-cs"/>
            </a:rPr>
            <a:t>Margin</a:t>
          </a:r>
          <a:r>
            <a:rPr lang="en-US" sz="1200">
              <a:solidFill>
                <a:schemeClr val="tx1"/>
              </a:solidFill>
              <a:effectLst/>
              <a:latin typeface="+mn-lt"/>
              <a:ea typeface="+mn-ea"/>
              <a:cs typeface="+mn-cs"/>
            </a:rPr>
            <a:t>- EBT had a consistent growth over the years, indicating that </a:t>
          </a:r>
          <a:r>
            <a:rPr lang="en-US" sz="1100">
              <a:solidFill>
                <a:schemeClr val="dk1"/>
              </a:solidFill>
              <a:effectLst/>
              <a:latin typeface="+mn-lt"/>
              <a:ea typeface="+mn-ea"/>
              <a:cs typeface="+mn-cs"/>
            </a:rPr>
            <a:t>Square Pharmaceuticals</a:t>
          </a:r>
          <a:r>
            <a:rPr lang="en-US" sz="1200">
              <a:solidFill>
                <a:schemeClr val="tx1"/>
              </a:solidFill>
              <a:effectLst/>
              <a:latin typeface="+mn-lt"/>
              <a:ea typeface="+mn-ea"/>
              <a:cs typeface="+mn-cs"/>
            </a:rPr>
            <a:t> has managed its overall expenses efficiently. </a:t>
          </a:r>
          <a:endParaRPr lang="en-US" sz="1200">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6</xdr:col>
      <xdr:colOff>0</xdr:colOff>
      <xdr:row>4</xdr:row>
      <xdr:rowOff>40822</xdr:rowOff>
    </xdr:from>
    <xdr:to>
      <xdr:col>7</xdr:col>
      <xdr:colOff>421822</xdr:colOff>
      <xdr:row>6</xdr:row>
      <xdr:rowOff>54429</xdr:rowOff>
    </xdr:to>
    <xdr:sp macro="" textlink="">
      <xdr:nvSpPr>
        <xdr:cNvPr id="11" name="Right Arrow 26">
          <a:extLst>
            <a:ext uri="{FF2B5EF4-FFF2-40B4-BE49-F238E27FC236}">
              <a16:creationId xmlns:a16="http://schemas.microsoft.com/office/drawing/2014/main" id="{00000000-0008-0000-0400-00000B000000}"/>
            </a:ext>
          </a:extLst>
        </xdr:cNvPr>
        <xdr:cNvSpPr/>
      </xdr:nvSpPr>
      <xdr:spPr>
        <a:xfrm>
          <a:off x="10865303" y="936172"/>
          <a:ext cx="1091294" cy="37555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9</xdr:row>
      <xdr:rowOff>95249</xdr:rowOff>
    </xdr:from>
    <xdr:to>
      <xdr:col>7</xdr:col>
      <xdr:colOff>530678</xdr:colOff>
      <xdr:row>11</xdr:row>
      <xdr:rowOff>0</xdr:rowOff>
    </xdr:to>
    <xdr:sp macro="" textlink="">
      <xdr:nvSpPr>
        <xdr:cNvPr id="12" name="Right Arrow 28">
          <a:extLst>
            <a:ext uri="{FF2B5EF4-FFF2-40B4-BE49-F238E27FC236}">
              <a16:creationId xmlns:a16="http://schemas.microsoft.com/office/drawing/2014/main" id="{00000000-0008-0000-0400-00000C000000}"/>
            </a:ext>
          </a:extLst>
        </xdr:cNvPr>
        <xdr:cNvSpPr/>
      </xdr:nvSpPr>
      <xdr:spPr>
        <a:xfrm>
          <a:off x="10877550" y="1895474"/>
          <a:ext cx="1187903" cy="321129"/>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598714</xdr:colOff>
      <xdr:row>8</xdr:row>
      <xdr:rowOff>108857</xdr:rowOff>
    </xdr:from>
    <xdr:to>
      <xdr:col>21</xdr:col>
      <xdr:colOff>642257</xdr:colOff>
      <xdr:row>12</xdr:row>
      <xdr:rowOff>76200</xdr:rowOff>
    </xdr:to>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1962039" y="1937657"/>
          <a:ext cx="9244693" cy="69124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i="1">
              <a:solidFill>
                <a:schemeClr val="dk1"/>
              </a:solidFill>
              <a:effectLst/>
              <a:latin typeface="+mn-lt"/>
              <a:ea typeface="+mn-ea"/>
              <a:cs typeface="+mn-cs"/>
            </a:rPr>
            <a:t>Return on asset</a:t>
          </a:r>
          <a:r>
            <a:rPr lang="en-US" sz="1200">
              <a:solidFill>
                <a:schemeClr val="dk1"/>
              </a:solidFill>
              <a:effectLst/>
              <a:latin typeface="+mn-lt"/>
              <a:ea typeface="+mn-ea"/>
              <a:cs typeface="+mn-cs"/>
            </a:rPr>
            <a:t>- Return on asset has dropped compared to the last year due</a:t>
          </a:r>
          <a:r>
            <a:rPr lang="en-US" sz="1200" baseline="0">
              <a:solidFill>
                <a:schemeClr val="dk1"/>
              </a:solidFill>
              <a:effectLst/>
              <a:latin typeface="+mn-lt"/>
              <a:ea typeface="+mn-ea"/>
              <a:cs typeface="+mn-cs"/>
            </a:rPr>
            <a:t> to its </a:t>
          </a:r>
          <a:r>
            <a:rPr lang="en-US" sz="1100" baseline="0">
              <a:solidFill>
                <a:schemeClr val="dk1"/>
              </a:solidFill>
              <a:effectLst/>
              <a:latin typeface="+mn-lt"/>
              <a:ea typeface="+mn-ea"/>
              <a:cs typeface="+mn-cs"/>
            </a:rPr>
            <a:t>lowest</a:t>
          </a:r>
          <a:r>
            <a:rPr lang="en-US" sz="1200" baseline="0">
              <a:solidFill>
                <a:schemeClr val="dk1"/>
              </a:solidFill>
              <a:effectLst/>
              <a:latin typeface="+mn-lt"/>
              <a:ea typeface="+mn-ea"/>
              <a:cs typeface="+mn-cs"/>
            </a:rPr>
            <a:t> growth in income in five years (likely due to the pandemic).</a:t>
          </a:r>
        </a:p>
        <a:p>
          <a:pPr rtl="0"/>
          <a:r>
            <a:rPr lang="en-US" sz="1200" b="1" i="1">
              <a:solidFill>
                <a:schemeClr val="dk1"/>
              </a:solidFill>
              <a:effectLst/>
              <a:latin typeface="+mn-lt"/>
              <a:ea typeface="+mn-ea"/>
              <a:cs typeface="+mn-cs"/>
            </a:rPr>
            <a:t>Return on equity</a:t>
          </a:r>
          <a:r>
            <a:rPr lang="en-US" sz="1200">
              <a:solidFill>
                <a:schemeClr val="dk1"/>
              </a:solidFill>
              <a:effectLst/>
              <a:latin typeface="+mn-lt"/>
              <a:ea typeface="+mn-ea"/>
              <a:cs typeface="+mn-cs"/>
            </a:rPr>
            <a:t>- Return on equity dropped last</a:t>
          </a:r>
          <a:r>
            <a:rPr lang="en-US" sz="1200" baseline="0">
              <a:solidFill>
                <a:schemeClr val="dk1"/>
              </a:solidFill>
              <a:effectLst/>
              <a:latin typeface="+mn-lt"/>
              <a:ea typeface="+mn-ea"/>
              <a:cs typeface="+mn-cs"/>
            </a:rPr>
            <a:t> FY as income did not grow as much as equity</a:t>
          </a:r>
          <a:r>
            <a:rPr lang="en-US" sz="1200">
              <a:solidFill>
                <a:schemeClr val="dk1"/>
              </a:solidFill>
              <a:effectLst/>
              <a:latin typeface="+mn-lt"/>
              <a:ea typeface="+mn-ea"/>
              <a:cs typeface="+mn-cs"/>
            </a:rPr>
            <a:t>.</a:t>
          </a:r>
        </a:p>
      </xdr:txBody>
    </xdr:sp>
    <xdr:clientData/>
  </xdr:twoCellAnchor>
  <xdr:twoCellAnchor>
    <xdr:from>
      <xdr:col>5</xdr:col>
      <xdr:colOff>1347878</xdr:colOff>
      <xdr:row>15</xdr:row>
      <xdr:rowOff>160282</xdr:rowOff>
    </xdr:from>
    <xdr:to>
      <xdr:col>16</xdr:col>
      <xdr:colOff>21207</xdr:colOff>
      <xdr:row>18</xdr:row>
      <xdr:rowOff>47343</xdr:rowOff>
    </xdr:to>
    <xdr:sp macro="" textlink="">
      <xdr:nvSpPr>
        <xdr:cNvPr id="14" name="Right Arrow 30">
          <a:extLst>
            <a:ext uri="{FF2B5EF4-FFF2-40B4-BE49-F238E27FC236}">
              <a16:creationId xmlns:a16="http://schemas.microsoft.com/office/drawing/2014/main" id="{00000000-0008-0000-0400-00000E000000}"/>
            </a:ext>
          </a:extLst>
        </xdr:cNvPr>
        <xdr:cNvSpPr/>
      </xdr:nvSpPr>
      <xdr:spPr>
        <a:xfrm>
          <a:off x="9381227" y="3431131"/>
          <a:ext cx="8000640" cy="426212"/>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16620</xdr:colOff>
      <xdr:row>15</xdr:row>
      <xdr:rowOff>50174</xdr:rowOff>
    </xdr:from>
    <xdr:to>
      <xdr:col>29</xdr:col>
      <xdr:colOff>754812</xdr:colOff>
      <xdr:row>26</xdr:row>
      <xdr:rowOff>172357</xdr:rowOff>
    </xdr:to>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17261406" y="3324960"/>
          <a:ext cx="10154335" cy="211789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i="1">
              <a:solidFill>
                <a:schemeClr val="dk1"/>
              </a:solidFill>
              <a:effectLst/>
              <a:latin typeface="+mn-lt"/>
              <a:ea typeface="+mn-ea"/>
              <a:cs typeface="+mn-cs"/>
            </a:rPr>
            <a:t>Net Income Growth- </a:t>
          </a:r>
          <a:r>
            <a:rPr lang="en-US" sz="1200">
              <a:solidFill>
                <a:schemeClr val="dk1"/>
              </a:solidFill>
              <a:effectLst/>
              <a:latin typeface="+mn-lt"/>
              <a:ea typeface="+mn-ea"/>
              <a:cs typeface="+mn-cs"/>
            </a:rPr>
            <a:t>Net Income Growth of </a:t>
          </a:r>
          <a:r>
            <a:rPr lang="en-US" sz="1100">
              <a:solidFill>
                <a:schemeClr val="dk1"/>
              </a:solidFill>
              <a:effectLst/>
              <a:latin typeface="+mn-lt"/>
              <a:ea typeface="+mn-ea"/>
              <a:cs typeface="+mn-cs"/>
            </a:rPr>
            <a:t>Square Pharmaceuticals</a:t>
          </a:r>
          <a:r>
            <a:rPr lang="en-US" sz="1200">
              <a:solidFill>
                <a:schemeClr val="dk1"/>
              </a:solidFill>
              <a:effectLst/>
              <a:latin typeface="+mn-lt"/>
              <a:ea typeface="+mn-ea"/>
              <a:cs typeface="+mn-cs"/>
            </a:rPr>
            <a:t> has taken a plunge this past year. This might be</a:t>
          </a:r>
          <a:r>
            <a:rPr lang="en-US" sz="1200" baseline="0">
              <a:solidFill>
                <a:schemeClr val="dk1"/>
              </a:solidFill>
              <a:effectLst/>
              <a:latin typeface="+mn-lt"/>
              <a:ea typeface="+mn-ea"/>
              <a:cs typeface="+mn-cs"/>
            </a:rPr>
            <a:t> due to </a:t>
          </a:r>
          <a:r>
            <a:rPr lang="en-US" sz="1200">
              <a:solidFill>
                <a:schemeClr val="dk1"/>
              </a:solidFill>
              <a:effectLst/>
              <a:latin typeface="+mn-lt"/>
              <a:ea typeface="+mn-ea"/>
              <a:cs typeface="+mn-cs"/>
            </a:rPr>
            <a:t>the pandemic and clearly has resulted in a decline in share prices which has affected the EPS growth as well. </a:t>
          </a:r>
          <a:endParaRPr lang="en-US" sz="1200">
            <a:effectLst/>
          </a:endParaRPr>
        </a:p>
        <a:p>
          <a:pPr rtl="0"/>
          <a:r>
            <a:rPr lang="en-US" sz="1200" b="1" i="1">
              <a:solidFill>
                <a:schemeClr val="dk1"/>
              </a:solidFill>
              <a:effectLst/>
              <a:latin typeface="+mn-lt"/>
              <a:ea typeface="+mn-ea"/>
              <a:cs typeface="+mn-cs"/>
            </a:rPr>
            <a:t>Operating Profit Growth- </a:t>
          </a:r>
          <a:r>
            <a:rPr lang="en-US" sz="1200">
              <a:solidFill>
                <a:schemeClr val="dk1"/>
              </a:solidFill>
              <a:effectLst/>
              <a:latin typeface="+mn-lt"/>
              <a:ea typeface="+mn-ea"/>
              <a:cs typeface="+mn-cs"/>
            </a:rPr>
            <a:t>Throughout the years, </a:t>
          </a:r>
          <a:r>
            <a:rPr lang="en-US" sz="1100">
              <a:solidFill>
                <a:schemeClr val="dk1"/>
              </a:solidFill>
              <a:effectLst/>
              <a:latin typeface="+mn-lt"/>
              <a:ea typeface="+mn-ea"/>
              <a:cs typeface="+mn-cs"/>
            </a:rPr>
            <a:t>Square Pharmaceuticals</a:t>
          </a:r>
          <a:r>
            <a:rPr lang="en-US" sz="1200">
              <a:solidFill>
                <a:schemeClr val="dk1"/>
              </a:solidFill>
              <a:effectLst/>
              <a:latin typeface="+mn-lt"/>
              <a:ea typeface="+mn-ea"/>
              <a:cs typeface="+mn-cs"/>
            </a:rPr>
            <a:t> has had an inconsistent growth</a:t>
          </a:r>
          <a:r>
            <a:rPr lang="en-US" sz="1200" baseline="0">
              <a:solidFill>
                <a:schemeClr val="dk1"/>
              </a:solidFill>
              <a:effectLst/>
              <a:latin typeface="+mn-lt"/>
              <a:ea typeface="+mn-ea"/>
              <a:cs typeface="+mn-cs"/>
            </a:rPr>
            <a:t> in operating profit and in has taken a noticeable plunge this past year.</a:t>
          </a:r>
          <a:endParaRPr lang="en-US" sz="1200">
            <a:solidFill>
              <a:schemeClr val="dk1"/>
            </a:solidFill>
            <a:effectLst/>
            <a:latin typeface="+mn-lt"/>
            <a:ea typeface="+mn-ea"/>
            <a:cs typeface="+mn-cs"/>
          </a:endParaRPr>
        </a:p>
        <a:p>
          <a:pPr rtl="0"/>
          <a:r>
            <a:rPr lang="en-US" sz="1200" b="1" i="1">
              <a:solidFill>
                <a:schemeClr val="dk1"/>
              </a:solidFill>
              <a:effectLst/>
              <a:latin typeface="+mn-lt"/>
              <a:ea typeface="+mn-ea"/>
              <a:cs typeface="+mn-cs"/>
            </a:rPr>
            <a:t>Revenue Growth- </a:t>
          </a:r>
          <a:r>
            <a:rPr lang="en-US" sz="1200">
              <a:solidFill>
                <a:schemeClr val="dk1"/>
              </a:solidFill>
              <a:effectLst/>
              <a:latin typeface="+mn-lt"/>
              <a:ea typeface="+mn-ea"/>
              <a:cs typeface="+mn-cs"/>
            </a:rPr>
            <a:t>Revenues have fairly increased throughout the</a:t>
          </a:r>
          <a:r>
            <a:rPr lang="en-US" sz="1200" baseline="0">
              <a:solidFill>
                <a:schemeClr val="dk1"/>
              </a:solidFill>
              <a:effectLst/>
              <a:latin typeface="+mn-lt"/>
              <a:ea typeface="+mn-ea"/>
              <a:cs typeface="+mn-cs"/>
            </a:rPr>
            <a:t> five years</a:t>
          </a:r>
          <a:r>
            <a:rPr lang="en-US" sz="1200">
              <a:solidFill>
                <a:schemeClr val="dk1"/>
              </a:solidFill>
              <a:effectLst/>
              <a:latin typeface="+mn-lt"/>
              <a:ea typeface="+mn-ea"/>
              <a:cs typeface="+mn-cs"/>
            </a:rPr>
            <a:t>. However, growth in revenue had declined in 2020 likely</a:t>
          </a:r>
          <a:r>
            <a:rPr lang="en-US" sz="1200" baseline="0">
              <a:solidFill>
                <a:schemeClr val="dk1"/>
              </a:solidFill>
              <a:effectLst/>
              <a:latin typeface="+mn-lt"/>
              <a:ea typeface="+mn-ea"/>
              <a:cs typeface="+mn-cs"/>
            </a:rPr>
            <a:t> because of</a:t>
          </a:r>
          <a:r>
            <a:rPr lang="en-US" sz="1200">
              <a:solidFill>
                <a:schemeClr val="dk1"/>
              </a:solidFill>
              <a:effectLst/>
              <a:latin typeface="+mn-lt"/>
              <a:ea typeface="+mn-ea"/>
              <a:cs typeface="+mn-cs"/>
            </a:rPr>
            <a:t> the pandemic. </a:t>
          </a:r>
        </a:p>
        <a:p>
          <a:pPr rtl="0"/>
          <a:r>
            <a:rPr lang="en-US" sz="1200" b="1" i="1">
              <a:solidFill>
                <a:schemeClr val="dk1"/>
              </a:solidFill>
              <a:effectLst/>
              <a:latin typeface="+mn-lt"/>
              <a:ea typeface="+mn-ea"/>
              <a:cs typeface="+mn-cs"/>
            </a:rPr>
            <a:t>EPS Growth- </a:t>
          </a:r>
          <a:r>
            <a:rPr lang="en-US" sz="1200" b="0" i="0">
              <a:solidFill>
                <a:schemeClr val="dk1"/>
              </a:solidFill>
              <a:effectLst/>
              <a:latin typeface="+mn-lt"/>
              <a:ea typeface="+mn-ea"/>
              <a:cs typeface="+mn-cs"/>
            </a:rPr>
            <a:t>The</a:t>
          </a:r>
          <a:r>
            <a:rPr lang="en-US" sz="1200" b="0" i="0" baseline="0">
              <a:solidFill>
                <a:schemeClr val="dk1"/>
              </a:solidFill>
              <a:effectLst/>
              <a:latin typeface="+mn-lt"/>
              <a:ea typeface="+mn-ea"/>
              <a:cs typeface="+mn-cs"/>
            </a:rPr>
            <a:t> growth in EPS has been very inconsistent and </a:t>
          </a:r>
          <a:r>
            <a:rPr lang="en-US" sz="1200">
              <a:solidFill>
                <a:schemeClr val="dk1"/>
              </a:solidFill>
              <a:effectLst/>
              <a:latin typeface="+mn-lt"/>
              <a:ea typeface="+mn-ea"/>
              <a:cs typeface="+mn-cs"/>
            </a:rPr>
            <a:t>had become negative in 2020. We</a:t>
          </a:r>
          <a:r>
            <a:rPr lang="en-US" sz="1200" baseline="0">
              <a:solidFill>
                <a:schemeClr val="dk1"/>
              </a:solidFill>
              <a:effectLst/>
              <a:latin typeface="+mn-lt"/>
              <a:ea typeface="+mn-ea"/>
              <a:cs typeface="+mn-cs"/>
            </a:rPr>
            <a:t> have considered this as a one-off situation due to the pandemic.</a:t>
          </a:r>
        </a:p>
        <a:p>
          <a:pPr rtl="0"/>
          <a:r>
            <a:rPr lang="en-US" sz="1200" b="1" i="1">
              <a:solidFill>
                <a:schemeClr val="dk1"/>
              </a:solidFill>
              <a:effectLst/>
              <a:latin typeface="+mn-lt"/>
              <a:ea typeface="+mn-ea"/>
              <a:cs typeface="+mn-cs"/>
            </a:rPr>
            <a:t>Dividend growth</a:t>
          </a:r>
          <a:r>
            <a:rPr lang="en-US" sz="1200">
              <a:solidFill>
                <a:schemeClr val="dk1"/>
              </a:solidFill>
              <a:effectLst/>
              <a:latin typeface="+mn-lt"/>
              <a:ea typeface="+mn-ea"/>
              <a:cs typeface="+mn-cs"/>
            </a:rPr>
            <a:t>: The significant jump in dividend growth was in FY2016-17. Since then, the growth has been slightly inconsistent, but </a:t>
          </a:r>
          <a:r>
            <a:rPr lang="en-US" sz="1100">
              <a:solidFill>
                <a:schemeClr val="dk1"/>
              </a:solidFill>
              <a:effectLst/>
              <a:latin typeface="+mn-lt"/>
              <a:ea typeface="+mn-ea"/>
              <a:cs typeface="+mn-cs"/>
            </a:rPr>
            <a:t>Square Pharmaceuticals</a:t>
          </a:r>
          <a:r>
            <a:rPr lang="en-US" sz="1200">
              <a:solidFill>
                <a:schemeClr val="dk1"/>
              </a:solidFill>
              <a:effectLst/>
              <a:latin typeface="+mn-lt"/>
              <a:ea typeface="+mn-ea"/>
              <a:cs typeface="+mn-cs"/>
            </a:rPr>
            <a:t> has consistently paid a high percentage of dividend every year regardless which means </a:t>
          </a:r>
          <a:r>
            <a:rPr lang="en-US" sz="1100">
              <a:solidFill>
                <a:schemeClr val="dk1"/>
              </a:solidFill>
              <a:effectLst/>
              <a:latin typeface="+mn-lt"/>
              <a:ea typeface="+mn-ea"/>
              <a:cs typeface="+mn-cs"/>
            </a:rPr>
            <a:t>Square Pharmaceuticals's</a:t>
          </a:r>
          <a:r>
            <a:rPr lang="en-US" sz="1200">
              <a:solidFill>
                <a:schemeClr val="dk1"/>
              </a:solidFill>
              <a:effectLst/>
              <a:latin typeface="+mn-lt"/>
              <a:ea typeface="+mn-ea"/>
              <a:cs typeface="+mn-cs"/>
            </a:rPr>
            <a:t> shares have remained attractive to investors.</a:t>
          </a:r>
          <a:endParaRPr lang="en-US" sz="1200">
            <a:effectLst/>
          </a:endParaRPr>
        </a:p>
        <a:p>
          <a:endParaRPr lang="en-US" sz="1100"/>
        </a:p>
      </xdr:txBody>
    </xdr:sp>
    <xdr:clientData/>
  </xdr:twoCellAnchor>
  <xdr:twoCellAnchor>
    <xdr:from>
      <xdr:col>5</xdr:col>
      <xdr:colOff>1365849</xdr:colOff>
      <xdr:row>21</xdr:row>
      <xdr:rowOff>126827</xdr:rowOff>
    </xdr:from>
    <xdr:to>
      <xdr:col>7</xdr:col>
      <xdr:colOff>145314</xdr:colOff>
      <xdr:row>23</xdr:row>
      <xdr:rowOff>45184</xdr:rowOff>
    </xdr:to>
    <xdr:sp macro="" textlink="">
      <xdr:nvSpPr>
        <xdr:cNvPr id="16" name="Right Arrow 32">
          <a:extLst>
            <a:ext uri="{FF2B5EF4-FFF2-40B4-BE49-F238E27FC236}">
              <a16:creationId xmlns:a16="http://schemas.microsoft.com/office/drawing/2014/main" id="{00000000-0008-0000-0400-000010000000}"/>
            </a:ext>
          </a:extLst>
        </xdr:cNvPr>
        <xdr:cNvSpPr/>
      </xdr:nvSpPr>
      <xdr:spPr>
        <a:xfrm>
          <a:off x="9399198" y="4475978"/>
          <a:ext cx="2122201" cy="27779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151048</xdr:colOff>
      <xdr:row>18</xdr:row>
      <xdr:rowOff>120701</xdr:rowOff>
    </xdr:from>
    <xdr:to>
      <xdr:col>12</xdr:col>
      <xdr:colOff>161026</xdr:colOff>
      <xdr:row>25</xdr:row>
      <xdr:rowOff>171450</xdr:rowOff>
    </xdr:to>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11514373" y="3759251"/>
          <a:ext cx="3296103" cy="1317574"/>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Operating cash flow growth</a:t>
          </a:r>
          <a:r>
            <a:rPr lang="en-US" sz="1200">
              <a:solidFill>
                <a:schemeClr val="dk1"/>
              </a:solidFill>
              <a:effectLst/>
              <a:latin typeface="+mn-lt"/>
              <a:ea typeface="+mn-ea"/>
              <a:cs typeface="+mn-cs"/>
            </a:rPr>
            <a:t>: </a:t>
          </a:r>
          <a:r>
            <a:rPr lang="en-US" sz="1100">
              <a:solidFill>
                <a:schemeClr val="dk1"/>
              </a:solidFill>
              <a:effectLst/>
              <a:latin typeface="+mn-lt"/>
              <a:ea typeface="+mn-ea"/>
              <a:cs typeface="+mn-cs"/>
            </a:rPr>
            <a:t>Throughout the five years Square Pharmaceuticals' operating cash flow's growth was inconsistent. However, the Operating cash flow grew in FY2017-18 and FY2018-19. But in the last year their percentage of income generation through operating activities has taken a huge plunge</a:t>
          </a:r>
          <a:r>
            <a:rPr lang="en-US" sz="1100" baseline="0">
              <a:solidFill>
                <a:schemeClr val="dk1"/>
              </a:solidFill>
              <a:effectLst/>
              <a:latin typeface="+mn-lt"/>
              <a:ea typeface="+mn-ea"/>
              <a:cs typeface="+mn-cs"/>
            </a:rPr>
            <a:t> and has become negative.</a:t>
          </a:r>
        </a:p>
        <a:p>
          <a:pPr marL="0" marR="0" indent="0" defTabSz="914400" rtl="0" eaLnBrk="1" fontAlgn="auto" latinLnBrk="0" hangingPunct="1">
            <a:lnSpc>
              <a:spcPct val="100000"/>
            </a:lnSpc>
            <a:spcBef>
              <a:spcPts val="0"/>
            </a:spcBef>
            <a:spcAft>
              <a:spcPts val="0"/>
            </a:spcAft>
            <a:buClrTx/>
            <a:buSzTx/>
            <a:buFontTx/>
            <a:buNone/>
            <a:tabLst/>
            <a:defRPr/>
          </a:pPr>
          <a:endParaRPr lang="en-US" sz="1100" b="1"/>
        </a:p>
      </xdr:txBody>
    </xdr:sp>
    <xdr:clientData/>
  </xdr:twoCellAnchor>
  <xdr:twoCellAnchor>
    <xdr:from>
      <xdr:col>5</xdr:col>
      <xdr:colOff>1366927</xdr:colOff>
      <xdr:row>27</xdr:row>
      <xdr:rowOff>90936</xdr:rowOff>
    </xdr:from>
    <xdr:to>
      <xdr:col>6</xdr:col>
      <xdr:colOff>1689339</xdr:colOff>
      <xdr:row>30</xdr:row>
      <xdr:rowOff>63619</xdr:rowOff>
    </xdr:to>
    <xdr:sp macro="" textlink="">
      <xdr:nvSpPr>
        <xdr:cNvPr id="18" name="Right Arrow 41">
          <a:extLst>
            <a:ext uri="{FF2B5EF4-FFF2-40B4-BE49-F238E27FC236}">
              <a16:creationId xmlns:a16="http://schemas.microsoft.com/office/drawing/2014/main" id="{00000000-0008-0000-0400-000012000000}"/>
            </a:ext>
          </a:extLst>
        </xdr:cNvPr>
        <xdr:cNvSpPr/>
      </xdr:nvSpPr>
      <xdr:spPr>
        <a:xfrm>
          <a:off x="9400276" y="5518389"/>
          <a:ext cx="1706233" cy="511834"/>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285750</xdr:colOff>
      <xdr:row>52</xdr:row>
      <xdr:rowOff>57150</xdr:rowOff>
    </xdr:from>
    <xdr:ext cx="3943350" cy="485775"/>
    <xdr:sp macro="" textlink="">
      <xdr:nvSpPr>
        <xdr:cNvPr id="4" name="Shape 4">
          <a:extLst>
            <a:ext uri="{FF2B5EF4-FFF2-40B4-BE49-F238E27FC236}">
              <a16:creationId xmlns:a16="http://schemas.microsoft.com/office/drawing/2014/main" id="{00000000-0008-0000-0500-000004000000}"/>
            </a:ext>
          </a:extLst>
        </xdr:cNvPr>
        <xdr:cNvSpPr txBox="1"/>
      </xdr:nvSpPr>
      <xdr:spPr>
        <a:xfrm>
          <a:off x="3383850" y="3289477"/>
          <a:ext cx="3924300" cy="470100"/>
        </a:xfrm>
        <a:prstGeom prst="rect">
          <a:avLst/>
        </a:prstGeom>
        <a:solidFill>
          <a:srgbClr val="92D0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Twentieth Century"/>
              <a:ea typeface="Twentieth Century"/>
              <a:cs typeface="Twentieth Century"/>
              <a:sym typeface="Twentieth Century"/>
            </a:rPr>
            <a:t>Short term loans make up the non-operating portion of Current Assets.</a:t>
          </a:r>
          <a:endParaRPr sz="1100"/>
        </a:p>
      </xdr:txBody>
    </xdr:sp>
    <xdr:clientData fLocksWithSheet="0"/>
  </xdr:oneCellAnchor>
  <xdr:oneCellAnchor>
    <xdr:from>
      <xdr:col>2</xdr:col>
      <xdr:colOff>1409700</xdr:colOff>
      <xdr:row>44</xdr:row>
      <xdr:rowOff>114300</xdr:rowOff>
    </xdr:from>
    <xdr:ext cx="371475" cy="1476375"/>
    <xdr:grpSp>
      <xdr:nvGrpSpPr>
        <xdr:cNvPr id="2" name="Shape 2">
          <a:extLst>
            <a:ext uri="{FF2B5EF4-FFF2-40B4-BE49-F238E27FC236}">
              <a16:creationId xmlns:a16="http://schemas.microsoft.com/office/drawing/2014/main" id="{00000000-0008-0000-0500-000002000000}"/>
            </a:ext>
          </a:extLst>
        </xdr:cNvPr>
        <xdr:cNvGrpSpPr/>
      </xdr:nvGrpSpPr>
      <xdr:grpSpPr>
        <a:xfrm>
          <a:off x="6038850" y="8839200"/>
          <a:ext cx="371475" cy="1476375"/>
          <a:chOff x="5165025" y="3046575"/>
          <a:chExt cx="362100" cy="1467000"/>
        </a:xfrm>
      </xdr:grpSpPr>
      <xdr:cxnSp macro="">
        <xdr:nvCxnSpPr>
          <xdr:cNvPr id="5" name="Shape 5">
            <a:extLst>
              <a:ext uri="{FF2B5EF4-FFF2-40B4-BE49-F238E27FC236}">
                <a16:creationId xmlns:a16="http://schemas.microsoft.com/office/drawing/2014/main" id="{00000000-0008-0000-0500-000005000000}"/>
              </a:ext>
            </a:extLst>
          </xdr:cNvPr>
          <xdr:cNvCxnSpPr>
            <a:endCxn id="3" idx="1"/>
          </xdr:cNvCxnSpPr>
        </xdr:nvCxnSpPr>
        <xdr:spPr>
          <a:xfrm>
            <a:off x="5165025" y="3046575"/>
            <a:ext cx="362100" cy="146700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oneCellAnchor>
    <xdr:from>
      <xdr:col>10</xdr:col>
      <xdr:colOff>657225</xdr:colOff>
      <xdr:row>31</xdr:row>
      <xdr:rowOff>180975</xdr:rowOff>
    </xdr:from>
    <xdr:ext cx="3790950" cy="504825"/>
    <xdr:sp macro="" textlink="">
      <xdr:nvSpPr>
        <xdr:cNvPr id="6" name="Shape 6">
          <a:extLst>
            <a:ext uri="{FF2B5EF4-FFF2-40B4-BE49-F238E27FC236}">
              <a16:creationId xmlns:a16="http://schemas.microsoft.com/office/drawing/2014/main" id="{00000000-0008-0000-0500-000006000000}"/>
            </a:ext>
          </a:extLst>
        </xdr:cNvPr>
        <xdr:cNvSpPr txBox="1"/>
      </xdr:nvSpPr>
      <xdr:spPr>
        <a:xfrm>
          <a:off x="4069650" y="3513300"/>
          <a:ext cx="3776400" cy="488700"/>
        </a:xfrm>
        <a:prstGeom prst="rect">
          <a:avLst/>
        </a:prstGeom>
        <a:solidFill>
          <a:srgbClr val="92D0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Twentieth Century"/>
              <a:ea typeface="Twentieth Century"/>
              <a:cs typeface="Twentieth Century"/>
              <a:sym typeface="Twentieth Century"/>
            </a:rPr>
            <a:t>Operating Current Liabilites consists of Trade Payables and a few selected items under Other Payables.</a:t>
          </a:r>
          <a:endParaRPr sz="1100"/>
        </a:p>
      </xdr:txBody>
    </xdr:sp>
    <xdr:clientData fLocksWithSheet="0"/>
  </xdr:oneCellAnchor>
  <xdr:oneCellAnchor>
    <xdr:from>
      <xdr:col>11</xdr:col>
      <xdr:colOff>1904</xdr:colOff>
      <xdr:row>35</xdr:row>
      <xdr:rowOff>219074</xdr:rowOff>
    </xdr:from>
    <xdr:ext cx="5278755" cy="1152525"/>
    <xdr:sp macro="" textlink="">
      <xdr:nvSpPr>
        <xdr:cNvPr id="7" name="Shape 7">
          <a:extLst>
            <a:ext uri="{FF2B5EF4-FFF2-40B4-BE49-F238E27FC236}">
              <a16:creationId xmlns:a16="http://schemas.microsoft.com/office/drawing/2014/main" id="{00000000-0008-0000-0500-000007000000}"/>
            </a:ext>
          </a:extLst>
        </xdr:cNvPr>
        <xdr:cNvSpPr txBox="1"/>
      </xdr:nvSpPr>
      <xdr:spPr>
        <a:xfrm>
          <a:off x="16247744" y="6597014"/>
          <a:ext cx="5278755" cy="1152525"/>
        </a:xfrm>
        <a:prstGeom prst="rect">
          <a:avLst/>
        </a:prstGeom>
        <a:solidFill>
          <a:srgbClr val="92D0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Twentieth Century"/>
              <a:ea typeface="Twentieth Century"/>
              <a:cs typeface="Twentieth Century"/>
              <a:sym typeface="Twentieth Century"/>
            </a:rPr>
            <a:t>The operational portion of Other Payables include- Sundry Creditors, Tax and other payables, Retention Money, and Income</a:t>
          </a:r>
          <a:r>
            <a:rPr lang="en-US" sz="1100" baseline="0">
              <a:solidFill>
                <a:schemeClr val="dk1"/>
              </a:solidFill>
              <a:latin typeface="Twentieth Century"/>
              <a:ea typeface="Twentieth Century"/>
              <a:cs typeface="Twentieth Century"/>
              <a:sym typeface="Twentieth Century"/>
            </a:rPr>
            <a:t> Tax</a:t>
          </a:r>
          <a:r>
            <a:rPr lang="en-US" sz="1100">
              <a:solidFill>
                <a:schemeClr val="dk1"/>
              </a:solidFill>
              <a:latin typeface="Twentieth Century"/>
              <a:ea typeface="Twentieth Century"/>
              <a:cs typeface="Twentieth Century"/>
              <a:sym typeface="Twentieth Century"/>
            </a:rPr>
            <a:t> Payable. </a:t>
          </a:r>
        </a:p>
        <a:p>
          <a:pPr marL="0" lvl="0" indent="0" algn="l" rtl="0">
            <a:spcBef>
              <a:spcPts val="0"/>
            </a:spcBef>
            <a:spcAft>
              <a:spcPts val="0"/>
            </a:spcAft>
            <a:buNone/>
          </a:pPr>
          <a:r>
            <a:rPr lang="en-US" sz="1100">
              <a:solidFill>
                <a:schemeClr val="dk1"/>
              </a:solidFill>
              <a:latin typeface="Twentieth Century"/>
              <a:ea typeface="Twentieth Century"/>
              <a:cs typeface="Twentieth Century"/>
              <a:sym typeface="Twentieth Century"/>
            </a:rPr>
            <a:t>Thereby, WPPF, Provident Fund, Unclaimed Dividend, and Accrued Interest, are deemed non-operational. </a:t>
          </a:r>
          <a:endParaRPr sz="1100"/>
        </a:p>
      </xdr:txBody>
    </xdr:sp>
    <xdr:clientData fLocksWithSheet="0"/>
  </xdr:oneCellAnchor>
  <xdr:oneCellAnchor>
    <xdr:from>
      <xdr:col>10</xdr:col>
      <xdr:colOff>657225</xdr:colOff>
      <xdr:row>46</xdr:row>
      <xdr:rowOff>114300</xdr:rowOff>
    </xdr:from>
    <xdr:ext cx="4467225" cy="1190625"/>
    <xdr:sp macro="" textlink="">
      <xdr:nvSpPr>
        <xdr:cNvPr id="8" name="Shape 8">
          <a:extLst>
            <a:ext uri="{FF2B5EF4-FFF2-40B4-BE49-F238E27FC236}">
              <a16:creationId xmlns:a16="http://schemas.microsoft.com/office/drawing/2014/main" id="{00000000-0008-0000-0500-000008000000}"/>
            </a:ext>
          </a:extLst>
        </xdr:cNvPr>
        <xdr:cNvSpPr txBox="1"/>
      </xdr:nvSpPr>
      <xdr:spPr>
        <a:xfrm>
          <a:off x="3869625" y="3303750"/>
          <a:ext cx="4446000" cy="1167600"/>
        </a:xfrm>
        <a:prstGeom prst="rect">
          <a:avLst/>
        </a:prstGeom>
        <a:solidFill>
          <a:srgbClr val="92D0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Twentieth Century"/>
              <a:ea typeface="Twentieth Century"/>
              <a:cs typeface="Twentieth Century"/>
              <a:sym typeface="Twentieth Century"/>
            </a:rPr>
            <a:t>Total Financial Debt is an addition of:-</a:t>
          </a:r>
          <a:endParaRPr sz="1100">
            <a:solidFill>
              <a:schemeClr val="dk1"/>
            </a:solidFill>
            <a:latin typeface="Twentieth Century"/>
            <a:ea typeface="Twentieth Century"/>
            <a:cs typeface="Twentieth Century"/>
            <a:sym typeface="Twentieth Century"/>
          </a:endParaRPr>
        </a:p>
        <a:p>
          <a:pPr marL="457200" lvl="0" indent="-298450" algn="l" rtl="0">
            <a:spcBef>
              <a:spcPts val="0"/>
            </a:spcBef>
            <a:spcAft>
              <a:spcPts val="0"/>
            </a:spcAft>
            <a:buClr>
              <a:schemeClr val="dk1"/>
            </a:buClr>
            <a:buSzPts val="1100"/>
            <a:buFont typeface="Twentieth Century"/>
            <a:buAutoNum type="romanUcPeriod"/>
          </a:pPr>
          <a:r>
            <a:rPr lang="en-US" sz="1100">
              <a:solidFill>
                <a:schemeClr val="dk1"/>
              </a:solidFill>
              <a:latin typeface="Twentieth Century"/>
              <a:ea typeface="Twentieth Century"/>
              <a:cs typeface="Twentieth Century"/>
              <a:sym typeface="Twentieth Century"/>
            </a:rPr>
            <a:t>Deferred Tax Liability, which is considered as long-term debt since it has been recurring and increasing over the years.</a:t>
          </a:r>
          <a:endParaRPr sz="1100">
            <a:solidFill>
              <a:schemeClr val="dk1"/>
            </a:solidFill>
            <a:latin typeface="Twentieth Century"/>
            <a:ea typeface="Twentieth Century"/>
            <a:cs typeface="Twentieth Century"/>
            <a:sym typeface="Twentieth Century"/>
          </a:endParaRPr>
        </a:p>
        <a:p>
          <a:pPr marL="457200" lvl="0" indent="-298450" algn="l" rtl="0">
            <a:spcBef>
              <a:spcPts val="0"/>
            </a:spcBef>
            <a:spcAft>
              <a:spcPts val="0"/>
            </a:spcAft>
            <a:buClr>
              <a:schemeClr val="dk1"/>
            </a:buClr>
            <a:buSzPts val="1100"/>
            <a:buFont typeface="Twentieth Century"/>
            <a:buAutoNum type="romanUcPeriod"/>
          </a:pPr>
          <a:r>
            <a:rPr lang="en-US" sz="1100">
              <a:solidFill>
                <a:schemeClr val="dk1"/>
              </a:solidFill>
              <a:latin typeface="Twentieth Century"/>
              <a:ea typeface="Twentieth Century"/>
              <a:cs typeface="Twentieth Century"/>
              <a:sym typeface="Twentieth Century"/>
            </a:rPr>
            <a:t>Short-term Bank Loan and Overdrafts, Provision for Taxation, and the non-operational part of Liabilities for other finances (WPPF, Provident Fund</a:t>
          </a:r>
          <a:r>
            <a:rPr lang="en-US" sz="1100" baseline="0">
              <a:solidFill>
                <a:schemeClr val="dk1"/>
              </a:solidFill>
              <a:latin typeface="Twentieth Century"/>
              <a:ea typeface="Twentieth Century"/>
              <a:cs typeface="Twentieth Century"/>
              <a:sym typeface="Twentieth Century"/>
            </a:rPr>
            <a:t> and</a:t>
          </a:r>
          <a:r>
            <a:rPr lang="en-US" sz="1100">
              <a:solidFill>
                <a:schemeClr val="dk1"/>
              </a:solidFill>
              <a:latin typeface="Twentieth Century"/>
              <a:ea typeface="Twentieth Century"/>
              <a:cs typeface="Twentieth Century"/>
              <a:sym typeface="Twentieth Century"/>
            </a:rPr>
            <a:t> Unclaimed Dividend etc.)  </a:t>
          </a:r>
          <a:endParaRPr sz="1100"/>
        </a:p>
      </xdr:txBody>
    </xdr:sp>
    <xdr:clientData fLocksWithSheet="0"/>
  </xdr:oneCellAnchor>
  <xdr:oneCellAnchor>
    <xdr:from>
      <xdr:col>9</xdr:col>
      <xdr:colOff>1171575</xdr:colOff>
      <xdr:row>34</xdr:row>
      <xdr:rowOff>19050</xdr:rowOff>
    </xdr:from>
    <xdr:ext cx="714375" cy="790575"/>
    <xdr:grpSp>
      <xdr:nvGrpSpPr>
        <xdr:cNvPr id="3" name="Shape 2">
          <a:extLst>
            <a:ext uri="{FF2B5EF4-FFF2-40B4-BE49-F238E27FC236}">
              <a16:creationId xmlns:a16="http://schemas.microsoft.com/office/drawing/2014/main" id="{00000000-0008-0000-0500-000003000000}"/>
            </a:ext>
          </a:extLst>
        </xdr:cNvPr>
        <xdr:cNvGrpSpPr/>
      </xdr:nvGrpSpPr>
      <xdr:grpSpPr>
        <a:xfrm>
          <a:off x="16925925" y="6400800"/>
          <a:ext cx="714375" cy="790575"/>
          <a:chOff x="4993575" y="3389625"/>
          <a:chExt cx="705000" cy="780900"/>
        </a:xfrm>
      </xdr:grpSpPr>
      <xdr:cxnSp macro="">
        <xdr:nvCxnSpPr>
          <xdr:cNvPr id="9" name="Shape 9">
            <a:extLst>
              <a:ext uri="{FF2B5EF4-FFF2-40B4-BE49-F238E27FC236}">
                <a16:creationId xmlns:a16="http://schemas.microsoft.com/office/drawing/2014/main" id="{00000000-0008-0000-0500-000009000000}"/>
              </a:ext>
            </a:extLst>
          </xdr:cNvPr>
          <xdr:cNvCxnSpPr>
            <a:endCxn id="6" idx="1"/>
          </xdr:cNvCxnSpPr>
        </xdr:nvCxnSpPr>
        <xdr:spPr>
          <a:xfrm rot="10800000" flipH="1">
            <a:off x="4993575" y="3389625"/>
            <a:ext cx="705000" cy="78090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oneCellAnchor>
    <xdr:from>
      <xdr:col>10</xdr:col>
      <xdr:colOff>0</xdr:colOff>
      <xdr:row>37</xdr:row>
      <xdr:rowOff>239073</xdr:rowOff>
    </xdr:from>
    <xdr:ext cx="657224" cy="237183"/>
    <xdr:grpSp>
      <xdr:nvGrpSpPr>
        <xdr:cNvPr id="10" name="Shape 2">
          <a:extLst>
            <a:ext uri="{FF2B5EF4-FFF2-40B4-BE49-F238E27FC236}">
              <a16:creationId xmlns:a16="http://schemas.microsoft.com/office/drawing/2014/main" id="{00000000-0008-0000-0500-00000A000000}"/>
            </a:ext>
          </a:extLst>
        </xdr:cNvPr>
        <xdr:cNvGrpSpPr/>
      </xdr:nvGrpSpPr>
      <xdr:grpSpPr>
        <a:xfrm>
          <a:off x="17192625" y="7382823"/>
          <a:ext cx="657224" cy="237183"/>
          <a:chOff x="5022150" y="3743684"/>
          <a:chExt cx="647699" cy="231580"/>
        </a:xfrm>
      </xdr:grpSpPr>
      <xdr:cxnSp macro="">
        <xdr:nvCxnSpPr>
          <xdr:cNvPr id="11" name="Shape 10">
            <a:extLst>
              <a:ext uri="{FF2B5EF4-FFF2-40B4-BE49-F238E27FC236}">
                <a16:creationId xmlns:a16="http://schemas.microsoft.com/office/drawing/2014/main" id="{00000000-0008-0000-0500-00000B000000}"/>
              </a:ext>
            </a:extLst>
          </xdr:cNvPr>
          <xdr:cNvCxnSpPr>
            <a:endCxn id="7" idx="1"/>
          </xdr:cNvCxnSpPr>
        </xdr:nvCxnSpPr>
        <xdr:spPr>
          <a:xfrm flipV="1">
            <a:off x="5022150" y="3743684"/>
            <a:ext cx="647699" cy="23158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oneCellAnchor>
    <xdr:from>
      <xdr:col>9</xdr:col>
      <xdr:colOff>1152525</xdr:colOff>
      <xdr:row>42</xdr:row>
      <xdr:rowOff>85725</xdr:rowOff>
    </xdr:from>
    <xdr:ext cx="704850" cy="1000125"/>
    <xdr:grpSp>
      <xdr:nvGrpSpPr>
        <xdr:cNvPr id="12" name="Shape 2">
          <a:extLst>
            <a:ext uri="{FF2B5EF4-FFF2-40B4-BE49-F238E27FC236}">
              <a16:creationId xmlns:a16="http://schemas.microsoft.com/office/drawing/2014/main" id="{00000000-0008-0000-0500-00000C000000}"/>
            </a:ext>
          </a:extLst>
        </xdr:cNvPr>
        <xdr:cNvGrpSpPr/>
      </xdr:nvGrpSpPr>
      <xdr:grpSpPr>
        <a:xfrm>
          <a:off x="16906875" y="8410575"/>
          <a:ext cx="704850" cy="1000125"/>
          <a:chOff x="4998338" y="3284700"/>
          <a:chExt cx="695400" cy="990600"/>
        </a:xfrm>
      </xdr:grpSpPr>
      <xdr:cxnSp macro="">
        <xdr:nvCxnSpPr>
          <xdr:cNvPr id="13" name="Shape 11">
            <a:extLst>
              <a:ext uri="{FF2B5EF4-FFF2-40B4-BE49-F238E27FC236}">
                <a16:creationId xmlns:a16="http://schemas.microsoft.com/office/drawing/2014/main" id="{00000000-0008-0000-0500-00000D000000}"/>
              </a:ext>
            </a:extLst>
          </xdr:cNvPr>
          <xdr:cNvCxnSpPr>
            <a:endCxn id="8" idx="1"/>
          </xdr:cNvCxnSpPr>
        </xdr:nvCxnSpPr>
        <xdr:spPr>
          <a:xfrm>
            <a:off x="4998338" y="3284700"/>
            <a:ext cx="695400" cy="99060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666750</xdr:colOff>
      <xdr:row>5</xdr:row>
      <xdr:rowOff>180975</xdr:rowOff>
    </xdr:from>
    <xdr:ext cx="3324225" cy="800100"/>
    <xdr:sp macro="" textlink="">
      <xdr:nvSpPr>
        <xdr:cNvPr id="12" name="Shape 12">
          <a:extLst>
            <a:ext uri="{FF2B5EF4-FFF2-40B4-BE49-F238E27FC236}">
              <a16:creationId xmlns:a16="http://schemas.microsoft.com/office/drawing/2014/main" id="{00000000-0008-0000-0600-00000C000000}"/>
            </a:ext>
          </a:extLst>
        </xdr:cNvPr>
        <xdr:cNvSpPr txBox="1"/>
      </xdr:nvSpPr>
      <xdr:spPr>
        <a:xfrm>
          <a:off x="3831525" y="3494250"/>
          <a:ext cx="3302700" cy="780300"/>
        </a:xfrm>
        <a:prstGeom prst="rect">
          <a:avLst/>
        </a:prstGeom>
        <a:solidFill>
          <a:schemeClr val="accent1">
            <a:lumMod val="40000"/>
            <a:lumOff val="60000"/>
          </a:schemeClr>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0">
              <a:solidFill>
                <a:schemeClr val="dk1"/>
              </a:solidFill>
              <a:latin typeface="Andalus" pitchFamily="18" charset="-78"/>
              <a:ea typeface="Twentieth Century"/>
              <a:cs typeface="Andalus" pitchFamily="18" charset="-78"/>
              <a:sym typeface="Twentieth Century"/>
            </a:rPr>
            <a:t>Market capitalization is calculated by multiplying the market price per share with the number of common shares outstanding. The share price used was the closing price on 06th July 2021.</a:t>
          </a:r>
          <a:endParaRPr sz="1050" b="0">
            <a:latin typeface="Andalus" pitchFamily="18" charset="-78"/>
            <a:cs typeface="Andalus" pitchFamily="18" charset="-78"/>
          </a:endParaRPr>
        </a:p>
      </xdr:txBody>
    </xdr:sp>
    <xdr:clientData fLocksWithSheet="0"/>
  </xdr:oneCellAnchor>
  <xdr:oneCellAnchor>
    <xdr:from>
      <xdr:col>1</xdr:col>
      <xdr:colOff>1114425</xdr:colOff>
      <xdr:row>24</xdr:row>
      <xdr:rowOff>0</xdr:rowOff>
    </xdr:from>
    <xdr:ext cx="6153150" cy="1047750"/>
    <xdr:sp macro="" textlink="">
      <xdr:nvSpPr>
        <xdr:cNvPr id="13" name="Shape 13">
          <a:extLst>
            <a:ext uri="{FF2B5EF4-FFF2-40B4-BE49-F238E27FC236}">
              <a16:creationId xmlns:a16="http://schemas.microsoft.com/office/drawing/2014/main" id="{00000000-0008-0000-0600-00000D000000}"/>
            </a:ext>
          </a:extLst>
        </xdr:cNvPr>
        <xdr:cNvSpPr txBox="1"/>
      </xdr:nvSpPr>
      <xdr:spPr>
        <a:xfrm>
          <a:off x="2278950" y="3279951"/>
          <a:ext cx="6134100" cy="1024800"/>
        </a:xfrm>
        <a:prstGeom prst="rect">
          <a:avLst/>
        </a:prstGeom>
        <a:solidFill>
          <a:srgbClr val="A9D5E7"/>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EMV per share of Square Pharmaceuticals is greater than the EBV per share by BDT 126.331; hence, the shares of Square Pharmaceuticals Ltd. are fundamentally overvalued because the investors perceive that the value of the enterprise’s Fixed Assets and Intangibles is 106,653,846,825.20 more than the amount mentioned in the accounting books</a:t>
          </a:r>
          <a:r>
            <a:rPr lang="en-US" sz="1050" b="0">
              <a:solidFill>
                <a:schemeClr val="dk1"/>
              </a:solidFill>
              <a:latin typeface="Andalus" pitchFamily="18" charset="-78"/>
              <a:ea typeface="+mn-ea"/>
              <a:cs typeface="Andalus" pitchFamily="18" charset="-78"/>
              <a:sym typeface="Twentieth Century"/>
            </a:rPr>
            <a:t>. </a:t>
          </a:r>
          <a:endParaRPr sz="1050" b="0">
            <a:latin typeface="Andalus" pitchFamily="18" charset="-78"/>
            <a:cs typeface="Andalus" pitchFamily="18" charset="-78"/>
          </a:endParaRPr>
        </a:p>
      </xdr:txBody>
    </xdr:sp>
    <xdr:clientData fLocksWithSheet="0"/>
  </xdr:oneCellAnchor>
  <xdr:oneCellAnchor>
    <xdr:from>
      <xdr:col>5</xdr:col>
      <xdr:colOff>1676400</xdr:colOff>
      <xdr:row>7</xdr:row>
      <xdr:rowOff>95250</xdr:rowOff>
    </xdr:from>
    <xdr:ext cx="676275" cy="38100"/>
    <xdr:grpSp>
      <xdr:nvGrpSpPr>
        <xdr:cNvPr id="2" name="Shape 2">
          <a:extLst>
            <a:ext uri="{FF2B5EF4-FFF2-40B4-BE49-F238E27FC236}">
              <a16:creationId xmlns:a16="http://schemas.microsoft.com/office/drawing/2014/main" id="{00000000-0008-0000-0600-000002000000}"/>
            </a:ext>
          </a:extLst>
        </xdr:cNvPr>
        <xdr:cNvGrpSpPr/>
      </xdr:nvGrpSpPr>
      <xdr:grpSpPr>
        <a:xfrm>
          <a:off x="9986309" y="1729441"/>
          <a:ext cx="676275" cy="38100"/>
          <a:chOff x="5007863" y="3780000"/>
          <a:chExt cx="676200" cy="0"/>
        </a:xfrm>
      </xdr:grpSpPr>
      <xdr:cxnSp macro="">
        <xdr:nvCxnSpPr>
          <xdr:cNvPr id="14" name="Shape 14">
            <a:extLst>
              <a:ext uri="{FF2B5EF4-FFF2-40B4-BE49-F238E27FC236}">
                <a16:creationId xmlns:a16="http://schemas.microsoft.com/office/drawing/2014/main" id="{00000000-0008-0000-0600-00000E000000}"/>
              </a:ext>
            </a:extLst>
          </xdr:cNvPr>
          <xdr:cNvCxnSpPr>
            <a:endCxn id="12" idx="1"/>
          </xdr:cNvCxnSpPr>
        </xdr:nvCxnSpPr>
        <xdr:spPr>
          <a:xfrm>
            <a:off x="5007863" y="3780000"/>
            <a:ext cx="676200" cy="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oneCellAnchor>
    <xdr:from>
      <xdr:col>3</xdr:col>
      <xdr:colOff>304800</xdr:colOff>
      <xdr:row>21</xdr:row>
      <xdr:rowOff>19050</xdr:rowOff>
    </xdr:from>
    <xdr:ext cx="38100" cy="533400"/>
    <xdr:grpSp>
      <xdr:nvGrpSpPr>
        <xdr:cNvPr id="3" name="Shape 2">
          <a:extLst>
            <a:ext uri="{FF2B5EF4-FFF2-40B4-BE49-F238E27FC236}">
              <a16:creationId xmlns:a16="http://schemas.microsoft.com/office/drawing/2014/main" id="{00000000-0008-0000-0600-000003000000}"/>
            </a:ext>
          </a:extLst>
        </xdr:cNvPr>
        <xdr:cNvGrpSpPr/>
      </xdr:nvGrpSpPr>
      <xdr:grpSpPr>
        <a:xfrm>
          <a:off x="5795682" y="4762874"/>
          <a:ext cx="38100" cy="533400"/>
          <a:chOff x="5346000" y="3513300"/>
          <a:chExt cx="0" cy="533400"/>
        </a:xfrm>
      </xdr:grpSpPr>
      <xdr:cxnSp macro="">
        <xdr:nvCxnSpPr>
          <xdr:cNvPr id="15" name="Shape 15">
            <a:extLst>
              <a:ext uri="{FF2B5EF4-FFF2-40B4-BE49-F238E27FC236}">
                <a16:creationId xmlns:a16="http://schemas.microsoft.com/office/drawing/2014/main" id="{00000000-0008-0000-0600-00000F000000}"/>
              </a:ext>
            </a:extLst>
          </xdr:cNvPr>
          <xdr:cNvCxnSpPr>
            <a:stCxn id="13" idx="0"/>
          </xdr:cNvCxnSpPr>
        </xdr:nvCxnSpPr>
        <xdr:spPr>
          <a:xfrm rot="10800000">
            <a:off x="5346000" y="3513300"/>
            <a:ext cx="0" cy="533400"/>
          </a:xfrm>
          <a:prstGeom prst="straightConnector1">
            <a:avLst/>
          </a:prstGeom>
          <a:noFill/>
          <a:ln w="9525" cap="flat" cmpd="sng">
            <a:solidFill>
              <a:schemeClr val="accent1"/>
            </a:solidFill>
            <a:prstDash val="solid"/>
            <a:round/>
            <a:headEnd type="none" w="sm" len="sm"/>
            <a:tailEnd type="triangl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twoCellAnchor>
    <xdr:from>
      <xdr:col>9</xdr:col>
      <xdr:colOff>652137</xdr:colOff>
      <xdr:row>20</xdr:row>
      <xdr:rowOff>88256</xdr:rowOff>
    </xdr:from>
    <xdr:to>
      <xdr:col>14</xdr:col>
      <xdr:colOff>48228</xdr:colOff>
      <xdr:row>26</xdr:row>
      <xdr:rowOff>67518</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2072491" y="4245497"/>
          <a:ext cx="2675585" cy="115602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900">
              <a:solidFill>
                <a:schemeClr val="dk1"/>
              </a:solidFill>
              <a:latin typeface="Andalus" pitchFamily="18" charset="-78"/>
              <a:ea typeface="+mn-ea"/>
              <a:cs typeface="Andalus" pitchFamily="18" charset="-78"/>
            </a:rPr>
            <a:t>Early years have been given less weight than the latest years to keep the calculations closer to the</a:t>
          </a:r>
          <a:r>
            <a:rPr lang="en-US" sz="900" baseline="0">
              <a:solidFill>
                <a:schemeClr val="dk1"/>
              </a:solidFill>
              <a:latin typeface="Andalus" pitchFamily="18" charset="-78"/>
              <a:ea typeface="+mn-ea"/>
              <a:cs typeface="Andalus" pitchFamily="18" charset="-78"/>
            </a:rPr>
            <a:t> present</a:t>
          </a:r>
          <a:r>
            <a:rPr lang="en-US" sz="900">
              <a:solidFill>
                <a:schemeClr val="dk1"/>
              </a:solidFill>
              <a:latin typeface="Andalus" pitchFamily="18" charset="-78"/>
              <a:ea typeface="+mn-ea"/>
              <a:cs typeface="Andalus" pitchFamily="18" charset="-78"/>
            </a:rPr>
            <a:t>. Time was the only criteria for assigning weights since </a:t>
          </a:r>
          <a:r>
            <a:rPr lang="en-US" sz="1100">
              <a:solidFill>
                <a:schemeClr val="dk1"/>
              </a:solidFill>
              <a:effectLst/>
              <a:latin typeface="+mn-lt"/>
              <a:ea typeface="+mn-ea"/>
              <a:cs typeface="+mn-cs"/>
            </a:rPr>
            <a:t>Square Pharmaceuticals</a:t>
          </a:r>
          <a:r>
            <a:rPr lang="en-US" sz="900">
              <a:solidFill>
                <a:schemeClr val="dk1"/>
              </a:solidFill>
              <a:latin typeface="Andalus" pitchFamily="18" charset="-78"/>
              <a:ea typeface="+mn-ea"/>
              <a:cs typeface="Andalus" pitchFamily="18" charset="-78"/>
            </a:rPr>
            <a:t> didn't have any major change in the pattern of borrowing nor was the debts drastically affected by the on-going pandemic.</a:t>
          </a:r>
          <a:endParaRPr lang="en-US" sz="900">
            <a:latin typeface="Andalus" pitchFamily="18" charset="-78"/>
            <a:cs typeface="Andalus" pitchFamily="18" charset="-78"/>
          </a:endParaRPr>
        </a:p>
        <a:p>
          <a:endParaRPr lang="en-US" sz="1100"/>
        </a:p>
      </xdr:txBody>
    </xdr:sp>
    <xdr:clientData/>
  </xdr:twoCellAnchor>
  <xdr:twoCellAnchor>
    <xdr:from>
      <xdr:col>5</xdr:col>
      <xdr:colOff>998054</xdr:colOff>
      <xdr:row>28</xdr:row>
      <xdr:rowOff>65516</xdr:rowOff>
    </xdr:from>
    <xdr:to>
      <xdr:col>10</xdr:col>
      <xdr:colOff>234010</xdr:colOff>
      <xdr:row>37</xdr:row>
      <xdr:rowOff>149087</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7872619" y="5921320"/>
          <a:ext cx="4578239" cy="192231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latin typeface="Andalus" pitchFamily="18" charset="-78"/>
              <a:ea typeface="+mn-ea"/>
              <a:cs typeface="Andalus" pitchFamily="18" charset="-78"/>
            </a:rPr>
            <a:t>In April 2020, the</a:t>
          </a:r>
          <a:r>
            <a:rPr lang="en-US" sz="1000" baseline="0">
              <a:solidFill>
                <a:schemeClr val="dk1"/>
              </a:solidFill>
              <a:latin typeface="Andalus" pitchFamily="18" charset="-78"/>
              <a:ea typeface="+mn-ea"/>
              <a:cs typeface="Andalus" pitchFamily="18" charset="-78"/>
            </a:rPr>
            <a:t> government-imposed single digit</a:t>
          </a:r>
          <a:r>
            <a:rPr lang="en-US" sz="1000">
              <a:solidFill>
                <a:schemeClr val="dk1"/>
              </a:solidFill>
              <a:latin typeface="Andalus" pitchFamily="18" charset="-78"/>
              <a:ea typeface="+mn-ea"/>
              <a:cs typeface="Andalus" pitchFamily="18" charset="-78"/>
            </a:rPr>
            <a:t> interest rate cap</a:t>
          </a:r>
          <a:r>
            <a:rPr lang="en-US" sz="1000" baseline="0">
              <a:solidFill>
                <a:schemeClr val="dk1"/>
              </a:solidFill>
              <a:latin typeface="Andalus" pitchFamily="18" charset="-78"/>
              <a:ea typeface="+mn-ea"/>
              <a:cs typeface="Andalus" pitchFamily="18" charset="-78"/>
            </a:rPr>
            <a:t> came into effect, with the </a:t>
          </a:r>
          <a:r>
            <a:rPr lang="en-US" sz="1000">
              <a:solidFill>
                <a:schemeClr val="dk1"/>
              </a:solidFill>
              <a:latin typeface="Andalus" pitchFamily="18" charset="-78"/>
              <a:ea typeface="+mn-ea"/>
              <a:cs typeface="Andalus" pitchFamily="18" charset="-78"/>
            </a:rPr>
            <a:t>lending rate</a:t>
          </a:r>
          <a:r>
            <a:rPr lang="en-US" sz="1000" baseline="0">
              <a:solidFill>
                <a:schemeClr val="dk1"/>
              </a:solidFill>
              <a:latin typeface="Andalus" pitchFamily="18" charset="-78"/>
              <a:ea typeface="+mn-ea"/>
              <a:cs typeface="Andalus" pitchFamily="18" charset="-78"/>
            </a:rPr>
            <a:t> ceiling</a:t>
          </a:r>
          <a:r>
            <a:rPr lang="en-US" sz="1000">
              <a:solidFill>
                <a:schemeClr val="dk1"/>
              </a:solidFill>
              <a:latin typeface="Andalus" pitchFamily="18" charset="-78"/>
              <a:ea typeface="+mn-ea"/>
              <a:cs typeface="Andalus" pitchFamily="18" charset="-78"/>
            </a:rPr>
            <a:t> at 9%, in order to tackle the rising amount of NPLs, and to boost private sector investments. Hence, all commercial and state banks of Bangladesh, including the banks associated with </a:t>
          </a:r>
          <a:r>
            <a:rPr lang="en-US" sz="1100">
              <a:solidFill>
                <a:schemeClr val="dk1"/>
              </a:solidFill>
              <a:effectLst/>
              <a:latin typeface="+mn-lt"/>
              <a:ea typeface="+mn-ea"/>
              <a:cs typeface="+mn-cs"/>
            </a:rPr>
            <a:t>Square Pharmaceuticals </a:t>
          </a:r>
          <a:r>
            <a:rPr lang="en-US" sz="1000">
              <a:solidFill>
                <a:schemeClr val="dk1"/>
              </a:solidFill>
              <a:latin typeface="Andalus" pitchFamily="18" charset="-78"/>
              <a:ea typeface="+mn-ea"/>
              <a:cs typeface="Andalus" pitchFamily="18" charset="-78"/>
            </a:rPr>
            <a:t>(BRAC</a:t>
          </a:r>
          <a:r>
            <a:rPr lang="en-US" sz="1000" baseline="0">
              <a:solidFill>
                <a:schemeClr val="dk1"/>
              </a:solidFill>
              <a:latin typeface="Andalus" pitchFamily="18" charset="-78"/>
              <a:ea typeface="+mn-ea"/>
              <a:cs typeface="Andalus" pitchFamily="18" charset="-78"/>
            </a:rPr>
            <a:t> Bank Ltd.</a:t>
          </a:r>
          <a:r>
            <a:rPr lang="en-US" sz="1000">
              <a:solidFill>
                <a:schemeClr val="dk1"/>
              </a:solidFill>
              <a:latin typeface="Andalus" pitchFamily="18" charset="-78"/>
              <a:ea typeface="+mn-ea"/>
              <a:cs typeface="Andalus" pitchFamily="18" charset="-78"/>
            </a:rPr>
            <a:t>,EBL,etc.) have a maximum lending rate of 9%.</a:t>
          </a:r>
          <a:r>
            <a:rPr lang="en-US" sz="1000" baseline="0">
              <a:solidFill>
                <a:schemeClr val="dk1"/>
              </a:solidFill>
              <a:latin typeface="Andalus" pitchFamily="18" charset="-78"/>
              <a:ea typeface="+mn-ea"/>
              <a:cs typeface="Andalus" pitchFamily="18" charset="-78"/>
            </a:rPr>
            <a:t> </a:t>
          </a:r>
          <a:r>
            <a:rPr lang="en-US" sz="1100">
              <a:solidFill>
                <a:schemeClr val="dk1"/>
              </a:solidFill>
              <a:effectLst/>
              <a:latin typeface="+mn-lt"/>
              <a:ea typeface="+mn-ea"/>
              <a:cs typeface="+mn-cs"/>
            </a:rPr>
            <a:t>Square Pharmaceuticals</a:t>
          </a:r>
          <a:r>
            <a:rPr lang="en-US" sz="1000">
              <a:solidFill>
                <a:schemeClr val="dk1"/>
              </a:solidFill>
              <a:latin typeface="Andalus" pitchFamily="18" charset="-78"/>
              <a:ea typeface="+mn-ea"/>
              <a:cs typeface="Andalus" pitchFamily="18" charset="-78"/>
            </a:rPr>
            <a:t> is a pharmaceutical giant in Bangladesh with the lowest existing debt, and banks will be willing to lend them at a lower rate than 9%. However,</a:t>
          </a:r>
          <a:r>
            <a:rPr lang="en-US" sz="1000" baseline="0">
              <a:solidFill>
                <a:schemeClr val="dk1"/>
              </a:solidFill>
              <a:latin typeface="Andalus" pitchFamily="18" charset="-78"/>
              <a:ea typeface="+mn-ea"/>
              <a:cs typeface="Andalus" pitchFamily="18" charset="-78"/>
            </a:rPr>
            <a:t> such interest rate caps have failed in countries like Kenya; hence, once the economy recovers post-pandemic, and the state of NPLs becomes better, there is a chance that this interest rate will be removed or that the ceiling will be raised. Thereby, an implied commercial rate of 11% have been used.</a:t>
          </a:r>
          <a:endParaRPr lang="en-US" sz="1000">
            <a:latin typeface="Andalus" pitchFamily="18" charset="-78"/>
            <a:cs typeface="Andalus" pitchFamily="18" charset="-78"/>
          </a:endParaRPr>
        </a:p>
        <a:p>
          <a:endParaRPr lang="en-US" sz="1000"/>
        </a:p>
      </xdr:txBody>
    </xdr:sp>
    <xdr:clientData/>
  </xdr:twoCellAnchor>
  <xdr:twoCellAnchor>
    <xdr:from>
      <xdr:col>7</xdr:col>
      <xdr:colOff>1374494</xdr:colOff>
      <xdr:row>19</xdr:row>
      <xdr:rowOff>144684</xdr:rowOff>
    </xdr:from>
    <xdr:to>
      <xdr:col>9</xdr:col>
      <xdr:colOff>652137</xdr:colOff>
      <xdr:row>23</xdr:row>
      <xdr:rowOff>10369</xdr:rowOff>
    </xdr:to>
    <xdr:cxnSp macro="">
      <xdr:nvCxnSpPr>
        <xdr:cNvPr id="8" name="Straight Arrow Connector 7">
          <a:extLst>
            <a:ext uri="{FF2B5EF4-FFF2-40B4-BE49-F238E27FC236}">
              <a16:creationId xmlns:a16="http://schemas.microsoft.com/office/drawing/2014/main" id="{00000000-0008-0000-0900-000008000000}"/>
            </a:ext>
          </a:extLst>
        </xdr:cNvPr>
        <xdr:cNvCxnSpPr>
          <a:stCxn id="2" idx="1"/>
        </xdr:cNvCxnSpPr>
      </xdr:nvCxnSpPr>
      <xdr:spPr>
        <a:xfrm flipH="1" flipV="1">
          <a:off x="10759633" y="3993266"/>
          <a:ext cx="1312858" cy="8302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12057</xdr:colOff>
      <xdr:row>23</xdr:row>
      <xdr:rowOff>10369</xdr:rowOff>
    </xdr:from>
    <xdr:to>
      <xdr:col>9</xdr:col>
      <xdr:colOff>652137</xdr:colOff>
      <xdr:row>27</xdr:row>
      <xdr:rowOff>120570</xdr:rowOff>
    </xdr:to>
    <xdr:cxnSp macro="">
      <xdr:nvCxnSpPr>
        <xdr:cNvPr id="10" name="Straight Arrow Connector 9">
          <a:extLst>
            <a:ext uri="{FF2B5EF4-FFF2-40B4-BE49-F238E27FC236}">
              <a16:creationId xmlns:a16="http://schemas.microsoft.com/office/drawing/2014/main" id="{E28EAAD5-39DF-490D-A83D-09CFFA01E4A3}"/>
            </a:ext>
          </a:extLst>
        </xdr:cNvPr>
        <xdr:cNvCxnSpPr>
          <a:stCxn id="2" idx="1"/>
        </xdr:cNvCxnSpPr>
      </xdr:nvCxnSpPr>
      <xdr:spPr>
        <a:xfrm flipH="1">
          <a:off x="10776513" y="4823508"/>
          <a:ext cx="1295978" cy="8046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1283804</xdr:colOff>
      <xdr:row>33</xdr:row>
      <xdr:rowOff>7910</xdr:rowOff>
    </xdr:from>
    <xdr:to>
      <xdr:col>5</xdr:col>
      <xdr:colOff>998054</xdr:colOff>
      <xdr:row>35</xdr:row>
      <xdr:rowOff>57979</xdr:rowOff>
    </xdr:to>
    <xdr:cxnSp macro="">
      <xdr:nvCxnSpPr>
        <xdr:cNvPr id="16" name="Straight Arrow Connector 15">
          <a:extLst>
            <a:ext uri="{FF2B5EF4-FFF2-40B4-BE49-F238E27FC236}">
              <a16:creationId xmlns:a16="http://schemas.microsoft.com/office/drawing/2014/main" id="{7884BC6E-D4CD-4938-893F-8DA8E1148C18}"/>
            </a:ext>
          </a:extLst>
        </xdr:cNvPr>
        <xdr:cNvCxnSpPr>
          <a:endCxn id="3" idx="1"/>
        </xdr:cNvCxnSpPr>
      </xdr:nvCxnSpPr>
      <xdr:spPr>
        <a:xfrm flipV="1">
          <a:off x="5458239" y="6882475"/>
          <a:ext cx="2414380" cy="4062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2640474</xdr:colOff>
      <xdr:row>41</xdr:row>
      <xdr:rowOff>253196</xdr:rowOff>
    </xdr:from>
    <xdr:to>
      <xdr:col>6</xdr:col>
      <xdr:colOff>212202</xdr:colOff>
      <xdr:row>50</xdr:row>
      <xdr:rowOff>8283</xdr:rowOff>
    </xdr:to>
    <xdr:sp macro="" textlink="">
      <xdr:nvSpPr>
        <xdr:cNvPr id="18" name="TextBox 17">
          <a:extLst>
            <a:ext uri="{FF2B5EF4-FFF2-40B4-BE49-F238E27FC236}">
              <a16:creationId xmlns:a16="http://schemas.microsoft.com/office/drawing/2014/main" id="{9B560678-D765-4C7A-88D8-890E8EE304A6}"/>
            </a:ext>
          </a:extLst>
        </xdr:cNvPr>
        <xdr:cNvSpPr txBox="1"/>
      </xdr:nvSpPr>
      <xdr:spPr>
        <a:xfrm>
          <a:off x="3949126" y="8850544"/>
          <a:ext cx="4454576" cy="1477869"/>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effectLst/>
              <a:latin typeface="+mn-lt"/>
              <a:ea typeface="+mn-ea"/>
              <a:cs typeface="+mn-cs"/>
            </a:rPr>
            <a:t>While the cost of debt is inherently difficult to forecast, even before the onset of the COVID-19 and the interest rate cap, Square Pharmaceuticals had a relatively low cost of debt with exceedingly low debt compared to equity. It is expected that Square Pharmaceuticals will take more debt in the future to fuel its growth and implement its expansion plans. Thereby, as the volume of debt will increase, leveraging their tangible and intangible assets, Square Pharmaceuticals might be able to sustain a low cost of debt.  </a:t>
          </a:r>
        </a:p>
      </xdr:txBody>
    </xdr:sp>
    <xdr:clientData/>
  </xdr:twoCellAnchor>
  <xdr:twoCellAnchor>
    <xdr:from>
      <xdr:col>4</xdr:col>
      <xdr:colOff>566677</xdr:colOff>
      <xdr:row>38</xdr:row>
      <xdr:rowOff>24114</xdr:rowOff>
    </xdr:from>
    <xdr:to>
      <xdr:col>4</xdr:col>
      <xdr:colOff>569088</xdr:colOff>
      <xdr:row>41</xdr:row>
      <xdr:rowOff>253196</xdr:rowOff>
    </xdr:to>
    <xdr:cxnSp macro="">
      <xdr:nvCxnSpPr>
        <xdr:cNvPr id="20" name="Straight Arrow Connector 19">
          <a:extLst>
            <a:ext uri="{FF2B5EF4-FFF2-40B4-BE49-F238E27FC236}">
              <a16:creationId xmlns:a16="http://schemas.microsoft.com/office/drawing/2014/main" id="{0C9A912F-C313-48D3-B61A-0E44B820A7A3}"/>
            </a:ext>
          </a:extLst>
        </xdr:cNvPr>
        <xdr:cNvCxnSpPr>
          <a:endCxn id="18" idx="0"/>
        </xdr:cNvCxnSpPr>
      </xdr:nvCxnSpPr>
      <xdr:spPr>
        <a:xfrm>
          <a:off x="6174003" y="8074810"/>
          <a:ext cx="2411" cy="7757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1267240</xdr:colOff>
      <xdr:row>40</xdr:row>
      <xdr:rowOff>0</xdr:rowOff>
    </xdr:from>
    <xdr:to>
      <xdr:col>12</xdr:col>
      <xdr:colOff>387816</xdr:colOff>
      <xdr:row>44</xdr:row>
      <xdr:rowOff>173935</xdr:rowOff>
    </xdr:to>
    <xdr:sp macro="" textlink="">
      <xdr:nvSpPr>
        <xdr:cNvPr id="9" name="TextBox 8">
          <a:extLst>
            <a:ext uri="{FF2B5EF4-FFF2-40B4-BE49-F238E27FC236}">
              <a16:creationId xmlns:a16="http://schemas.microsoft.com/office/drawing/2014/main" id="{DC880423-DB61-48CC-97F9-FC5958565BE4}"/>
            </a:ext>
          </a:extLst>
        </xdr:cNvPr>
        <xdr:cNvSpPr txBox="1"/>
      </xdr:nvSpPr>
      <xdr:spPr>
        <a:xfrm>
          <a:off x="9458740" y="8415130"/>
          <a:ext cx="4454576" cy="98563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effectLst/>
              <a:latin typeface="+mn-lt"/>
              <a:ea typeface="+mn-ea"/>
              <a:cs typeface="+mn-cs"/>
            </a:rPr>
            <a:t>Square Pharmaceuticals Ltd. has very little debt compared to its liquid assets (Especially </a:t>
          </a:r>
          <a:r>
            <a:rPr lang="en-US" sz="1100" b="1">
              <a:solidFill>
                <a:schemeClr val="dk1"/>
              </a:solidFill>
              <a:effectLst/>
              <a:latin typeface="+mn-lt"/>
              <a:ea typeface="+mn-ea"/>
              <a:cs typeface="+mn-cs"/>
            </a:rPr>
            <a:t>Cash</a:t>
          </a:r>
          <a:r>
            <a:rPr lang="en-US" sz="1100">
              <a:solidFill>
                <a:schemeClr val="dk1"/>
              </a:solidFill>
              <a:effectLst/>
              <a:latin typeface="+mn-lt"/>
              <a:ea typeface="+mn-ea"/>
              <a:cs typeface="+mn-cs"/>
            </a:rPr>
            <a:t>). Hence, for Square Pharmaceuticals, we'll generally consider the </a:t>
          </a:r>
          <a:r>
            <a:rPr lang="en-US" sz="1100" b="1">
              <a:solidFill>
                <a:schemeClr val="dk1"/>
              </a:solidFill>
              <a:effectLst/>
              <a:latin typeface="+mn-lt"/>
              <a:ea typeface="+mn-ea"/>
              <a:cs typeface="+mn-cs"/>
            </a:rPr>
            <a:t>Implied Commercial Rate of Interest </a:t>
          </a:r>
          <a:r>
            <a:rPr lang="en-US" sz="1100">
              <a:solidFill>
                <a:schemeClr val="dk1"/>
              </a:solidFill>
              <a:effectLst/>
              <a:latin typeface="+mn-lt"/>
              <a:ea typeface="+mn-ea"/>
              <a:cs typeface="+mn-cs"/>
            </a:rPr>
            <a:t>as the cost of debt estimation. Hence, the</a:t>
          </a:r>
          <a:r>
            <a:rPr lang="en-US" sz="1100" baseline="0">
              <a:solidFill>
                <a:schemeClr val="dk1"/>
              </a:solidFill>
              <a:effectLst/>
              <a:latin typeface="+mn-lt"/>
              <a:ea typeface="+mn-ea"/>
              <a:cs typeface="+mn-cs"/>
            </a:rPr>
            <a:t> full weight is given to the commercial rate of interest.</a:t>
          </a:r>
          <a:endParaRPr lang="en-US" sz="1100">
            <a:solidFill>
              <a:schemeClr val="dk1"/>
            </a:solidFill>
            <a:effectLst/>
            <a:latin typeface="+mn-lt"/>
            <a:ea typeface="+mn-ea"/>
            <a:cs typeface="+mn-cs"/>
          </a:endParaRPr>
        </a:p>
      </xdr:txBody>
    </xdr:sp>
    <xdr:clientData/>
  </xdr:twoCellAnchor>
  <xdr:twoCellAnchor>
    <xdr:from>
      <xdr:col>4</xdr:col>
      <xdr:colOff>1225826</xdr:colOff>
      <xdr:row>35</xdr:row>
      <xdr:rowOff>182218</xdr:rowOff>
    </xdr:from>
    <xdr:to>
      <xdr:col>6</xdr:col>
      <xdr:colOff>1258957</xdr:colOff>
      <xdr:row>41</xdr:row>
      <xdr:rowOff>182217</xdr:rowOff>
    </xdr:to>
    <xdr:cxnSp macro="">
      <xdr:nvCxnSpPr>
        <xdr:cNvPr id="5" name="Straight Arrow Connector 4">
          <a:extLst>
            <a:ext uri="{FF2B5EF4-FFF2-40B4-BE49-F238E27FC236}">
              <a16:creationId xmlns:a16="http://schemas.microsoft.com/office/drawing/2014/main" id="{4041671C-B0D6-49F0-B28F-D05D0DE292A9}"/>
            </a:ext>
          </a:extLst>
        </xdr:cNvPr>
        <xdr:cNvCxnSpPr/>
      </xdr:nvCxnSpPr>
      <xdr:spPr>
        <a:xfrm>
          <a:off x="6833152" y="7412935"/>
          <a:ext cx="2617305" cy="136663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8</xdr:col>
      <xdr:colOff>152400</xdr:colOff>
      <xdr:row>47</xdr:row>
      <xdr:rowOff>152400</xdr:rowOff>
    </xdr:from>
    <xdr:ext cx="2495550" cy="2657475"/>
    <xdr:sp macro="" textlink="">
      <xdr:nvSpPr>
        <xdr:cNvPr id="2" name="Shape 17">
          <a:extLst>
            <a:ext uri="{FF2B5EF4-FFF2-40B4-BE49-F238E27FC236}">
              <a16:creationId xmlns:a16="http://schemas.microsoft.com/office/drawing/2014/main" id="{00000000-0008-0000-0B00-000002000000}"/>
            </a:ext>
          </a:extLst>
        </xdr:cNvPr>
        <xdr:cNvSpPr txBox="1"/>
      </xdr:nvSpPr>
      <xdr:spPr>
        <a:xfrm>
          <a:off x="7848600" y="8477250"/>
          <a:ext cx="2495550" cy="26574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400"/>
        </a:p>
      </xdr:txBody>
    </xdr:sp>
    <xdr:clientData fLocksWithSheet="0"/>
  </xdr:oneCellAnchor>
  <xdr:oneCellAnchor>
    <xdr:from>
      <xdr:col>14</xdr:col>
      <xdr:colOff>467360</xdr:colOff>
      <xdr:row>17</xdr:row>
      <xdr:rowOff>111760</xdr:rowOff>
    </xdr:from>
    <xdr:ext cx="184731" cy="25455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3935710" y="318833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twoCellAnchor>
    <xdr:from>
      <xdr:col>7</xdr:col>
      <xdr:colOff>913458</xdr:colOff>
      <xdr:row>31</xdr:row>
      <xdr:rowOff>150989</xdr:rowOff>
    </xdr:from>
    <xdr:to>
      <xdr:col>9</xdr:col>
      <xdr:colOff>203200</xdr:colOff>
      <xdr:row>38</xdr:row>
      <xdr:rowOff>88900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3651558" y="7008989"/>
          <a:ext cx="1867842" cy="132221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a:latin typeface="+mj-lt"/>
              <a:cs typeface="Andalus" pitchFamily="18" charset="-78"/>
            </a:rPr>
            <a:t>As </a:t>
          </a:r>
          <a:r>
            <a:rPr lang="en-US" sz="1200">
              <a:solidFill>
                <a:schemeClr val="dk1"/>
              </a:solidFill>
              <a:effectLst/>
              <a:latin typeface="+mj-lt"/>
              <a:ea typeface="+mn-ea"/>
              <a:cs typeface="+mn-cs"/>
            </a:rPr>
            <a:t>Square Pharmaceuticals</a:t>
          </a:r>
          <a:r>
            <a:rPr lang="en-US" sz="1200">
              <a:latin typeface="+mj-lt"/>
              <a:cs typeface="Andalus" pitchFamily="18" charset="-78"/>
            </a:rPr>
            <a:t> has</a:t>
          </a:r>
          <a:r>
            <a:rPr lang="en-US" sz="1200" baseline="0">
              <a:latin typeface="+mj-lt"/>
              <a:cs typeface="Andalus" pitchFamily="18" charset="-78"/>
            </a:rPr>
            <a:t> been constantly paying stock dividends every year since 2002, more weight has been assigned to the Gordon All Cash Flows to Equity Model.</a:t>
          </a:r>
          <a:endParaRPr lang="en-US" sz="1200">
            <a:latin typeface="+mj-lt"/>
            <a:cs typeface="Andalus" pitchFamily="18" charset="-78"/>
          </a:endParaRPr>
        </a:p>
        <a:p>
          <a:endParaRPr lang="en-US" sz="1200">
            <a:latin typeface="+mj-lt"/>
          </a:endParaRPr>
        </a:p>
      </xdr:txBody>
    </xdr:sp>
    <xdr:clientData/>
  </xdr:twoCellAnchor>
  <xdr:twoCellAnchor>
    <xdr:from>
      <xdr:col>4</xdr:col>
      <xdr:colOff>8749</xdr:colOff>
      <xdr:row>17</xdr:row>
      <xdr:rowOff>153988</xdr:rowOff>
    </xdr:from>
    <xdr:to>
      <xdr:col>4</xdr:col>
      <xdr:colOff>1003300</xdr:colOff>
      <xdr:row>17</xdr:row>
      <xdr:rowOff>161878</xdr:rowOff>
    </xdr:to>
    <xdr:cxnSp macro="">
      <xdr:nvCxnSpPr>
        <xdr:cNvPr id="7" name="Straight Arrow Connector 6">
          <a:extLst>
            <a:ext uri="{FF2B5EF4-FFF2-40B4-BE49-F238E27FC236}">
              <a16:creationId xmlns:a16="http://schemas.microsoft.com/office/drawing/2014/main" id="{00000000-0008-0000-0B00-000007000000}"/>
            </a:ext>
          </a:extLst>
        </xdr:cNvPr>
        <xdr:cNvCxnSpPr>
          <a:endCxn id="12" idx="1"/>
        </xdr:cNvCxnSpPr>
      </xdr:nvCxnSpPr>
      <xdr:spPr>
        <a:xfrm flipV="1">
          <a:off x="7095349" y="3792538"/>
          <a:ext cx="994551" cy="789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589643</xdr:colOff>
      <xdr:row>2</xdr:row>
      <xdr:rowOff>27215</xdr:rowOff>
    </xdr:from>
    <xdr:to>
      <xdr:col>13</xdr:col>
      <xdr:colOff>503465</xdr:colOff>
      <xdr:row>17</xdr:row>
      <xdr:rowOff>246743</xdr:rowOff>
    </xdr:to>
    <xdr:graphicFrame macro="">
      <xdr:nvGraphicFramePr>
        <xdr:cNvPr id="10" name="Chart 9">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1003300</xdr:colOff>
      <xdr:row>15</xdr:row>
      <xdr:rowOff>88901</xdr:rowOff>
    </xdr:from>
    <xdr:to>
      <xdr:col>7</xdr:col>
      <xdr:colOff>280147</xdr:colOff>
      <xdr:row>20</xdr:row>
      <xdr:rowOff>38100</xdr:rowOff>
    </xdr:to>
    <xdr:sp macro="" textlink="">
      <xdr:nvSpPr>
        <xdr:cNvPr id="12" name="TextBox 11">
          <a:extLst>
            <a:ext uri="{FF2B5EF4-FFF2-40B4-BE49-F238E27FC236}">
              <a16:creationId xmlns:a16="http://schemas.microsoft.com/office/drawing/2014/main" id="{7D02A198-6BA5-48F4-BA74-6878F4D71A03}"/>
            </a:ext>
          </a:extLst>
        </xdr:cNvPr>
        <xdr:cNvSpPr txBox="1"/>
      </xdr:nvSpPr>
      <xdr:spPr>
        <a:xfrm>
          <a:off x="8089900" y="3289301"/>
          <a:ext cx="5020422" cy="100647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effectLst/>
              <a:latin typeface="+mn-lt"/>
              <a:ea typeface="+mn-ea"/>
              <a:cs typeface="+mn-cs"/>
            </a:rPr>
            <a:t>Progressively higher weights have been assigned to the more recent years. </a:t>
          </a:r>
        </a:p>
        <a:p>
          <a:r>
            <a:rPr lang="en-US" sz="1100">
              <a:solidFill>
                <a:schemeClr val="dk1"/>
              </a:solidFill>
              <a:effectLst/>
              <a:latin typeface="+mn-lt"/>
              <a:ea typeface="+mn-ea"/>
              <a:cs typeface="+mn-cs"/>
            </a:rPr>
            <a:t>But for 2017 lowest weight was assigned when the dividend growth rate was  -15%. It can happen from time to time depending on the fiscal year's performance, and it will not occur too frequently as Square Pharmaceuticals Ltd. will want to keep its investors enticed.</a:t>
          </a:r>
        </a:p>
      </xdr:txBody>
    </xdr:sp>
    <xdr:clientData/>
  </xdr:twoCellAnchor>
  <xdr:twoCellAnchor>
    <xdr:from>
      <xdr:col>7</xdr:col>
      <xdr:colOff>38100</xdr:colOff>
      <xdr:row>34</xdr:row>
      <xdr:rowOff>190501</xdr:rowOff>
    </xdr:from>
    <xdr:to>
      <xdr:col>7</xdr:col>
      <xdr:colOff>913458</xdr:colOff>
      <xdr:row>34</xdr:row>
      <xdr:rowOff>265995</xdr:rowOff>
    </xdr:to>
    <xdr:cxnSp macro="">
      <xdr:nvCxnSpPr>
        <xdr:cNvPr id="17" name="Straight Arrow Connector 16">
          <a:extLst>
            <a:ext uri="{FF2B5EF4-FFF2-40B4-BE49-F238E27FC236}">
              <a16:creationId xmlns:a16="http://schemas.microsoft.com/office/drawing/2014/main" id="{508E0473-222A-43D0-A0FC-87F8C415792D}"/>
            </a:ext>
          </a:extLst>
        </xdr:cNvPr>
        <xdr:cNvCxnSpPr>
          <a:endCxn id="6" idx="1"/>
        </xdr:cNvCxnSpPr>
      </xdr:nvCxnSpPr>
      <xdr:spPr>
        <a:xfrm>
          <a:off x="12776200" y="7594601"/>
          <a:ext cx="875358" cy="754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2355794</xdr:colOff>
      <xdr:row>18</xdr:row>
      <xdr:rowOff>35541</xdr:rowOff>
    </xdr:from>
    <xdr:to>
      <xdr:col>5</xdr:col>
      <xdr:colOff>762954</xdr:colOff>
      <xdr:row>20</xdr:row>
      <xdr:rowOff>57150</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6337244" y="4264641"/>
          <a:ext cx="3112510" cy="478809"/>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000" b="0">
              <a:solidFill>
                <a:schemeClr val="tx1"/>
              </a:solidFill>
              <a:latin typeface="Andalus" pitchFamily="18" charset="-78"/>
              <a:cs typeface="Andalus" pitchFamily="18" charset="-78"/>
            </a:rPr>
            <a:t>The tax-adjusted</a:t>
          </a:r>
          <a:r>
            <a:rPr lang="en-US" sz="1000" b="0" baseline="0">
              <a:solidFill>
                <a:schemeClr val="tx1"/>
              </a:solidFill>
              <a:latin typeface="Andalus" pitchFamily="18" charset="-78"/>
              <a:cs typeface="Andalus" pitchFamily="18" charset="-78"/>
            </a:rPr>
            <a:t> CAPM has been used to give the measurement a greater touch of reality.</a:t>
          </a:r>
          <a:endParaRPr lang="en-US" sz="1000" b="0">
            <a:solidFill>
              <a:schemeClr val="tx1"/>
            </a:solidFill>
            <a:latin typeface="Andalus" pitchFamily="18" charset="-78"/>
            <a:cs typeface="Andalus" pitchFamily="18" charset="-78"/>
          </a:endParaRPr>
        </a:p>
      </xdr:txBody>
    </xdr:sp>
    <xdr:clientData/>
  </xdr:twoCellAnchor>
  <xdr:twoCellAnchor>
    <xdr:from>
      <xdr:col>10</xdr:col>
      <xdr:colOff>954918</xdr:colOff>
      <xdr:row>12</xdr:row>
      <xdr:rowOff>159872</xdr:rowOff>
    </xdr:from>
    <xdr:to>
      <xdr:col>13</xdr:col>
      <xdr:colOff>941294</xdr:colOff>
      <xdr:row>18</xdr:row>
      <xdr:rowOff>123265</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6956918" y="2860490"/>
          <a:ext cx="2507700" cy="143136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000">
              <a:latin typeface="Andalus" pitchFamily="18" charset="-78"/>
              <a:cs typeface="Andalus" pitchFamily="18" charset="-78"/>
            </a:rPr>
            <a:t>Beta, measuring Square Pharmaceuticals Ltd's</a:t>
          </a:r>
          <a:r>
            <a:rPr lang="en-US" sz="1000" baseline="0">
              <a:latin typeface="Andalus" pitchFamily="18" charset="-78"/>
              <a:cs typeface="Andalus" pitchFamily="18" charset="-78"/>
            </a:rPr>
            <a:t> </a:t>
          </a:r>
          <a:r>
            <a:rPr lang="en-US" sz="1000">
              <a:latin typeface="Andalus" pitchFamily="18" charset="-78"/>
              <a:cs typeface="Andalus" pitchFamily="18" charset="-78"/>
            </a:rPr>
            <a:t>volatility to the</a:t>
          </a:r>
          <a:r>
            <a:rPr lang="en-US" sz="1000" baseline="0">
              <a:latin typeface="Andalus" pitchFamily="18" charset="-78"/>
              <a:cs typeface="Andalus" pitchFamily="18" charset="-78"/>
            </a:rPr>
            <a:t> stock's market's index, is a fundamentally weak measurement to begin with. Thereby, besides the calculated Beta, taking into account the Beta stated by Amar Stock and Lanka Bangla, a composite, implied Beta of 0.88 has been used.</a:t>
          </a:r>
          <a:endParaRPr lang="en-US" sz="1000">
            <a:latin typeface="Andalus" pitchFamily="18" charset="-78"/>
            <a:cs typeface="Andalus" pitchFamily="18" charset="-78"/>
          </a:endParaRPr>
        </a:p>
      </xdr:txBody>
    </xdr:sp>
    <xdr:clientData/>
  </xdr:twoCellAnchor>
  <xdr:twoCellAnchor>
    <xdr:from>
      <xdr:col>10</xdr:col>
      <xdr:colOff>23812</xdr:colOff>
      <xdr:row>14</xdr:row>
      <xdr:rowOff>202407</xdr:rowOff>
    </xdr:from>
    <xdr:to>
      <xdr:col>10</xdr:col>
      <xdr:colOff>954918</xdr:colOff>
      <xdr:row>15</xdr:row>
      <xdr:rowOff>79937</xdr:rowOff>
    </xdr:to>
    <xdr:cxnSp macro="">
      <xdr:nvCxnSpPr>
        <xdr:cNvPr id="18" name="Straight Arrow Connector 17">
          <a:extLst>
            <a:ext uri="{FF2B5EF4-FFF2-40B4-BE49-F238E27FC236}">
              <a16:creationId xmlns:a16="http://schemas.microsoft.com/office/drawing/2014/main" id="{1A80DF09-8BD8-4633-9754-90A30B13B60C}"/>
            </a:ext>
          </a:extLst>
        </xdr:cNvPr>
        <xdr:cNvCxnSpPr>
          <a:endCxn id="6" idx="1"/>
        </xdr:cNvCxnSpPr>
      </xdr:nvCxnSpPr>
      <xdr:spPr>
        <a:xfrm>
          <a:off x="16025812" y="3351260"/>
          <a:ext cx="931106" cy="2249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1000127</xdr:colOff>
      <xdr:row>15</xdr:row>
      <xdr:rowOff>1</xdr:rowOff>
    </xdr:from>
    <xdr:to>
      <xdr:col>4</xdr:col>
      <xdr:colOff>1225999</xdr:colOff>
      <xdr:row>18</xdr:row>
      <xdr:rowOff>35541</xdr:rowOff>
    </xdr:to>
    <xdr:cxnSp macro="">
      <xdr:nvCxnSpPr>
        <xdr:cNvPr id="21" name="Straight Arrow Connector 20">
          <a:extLst>
            <a:ext uri="{FF2B5EF4-FFF2-40B4-BE49-F238E27FC236}">
              <a16:creationId xmlns:a16="http://schemas.microsoft.com/office/drawing/2014/main" id="{09DD705E-0EEC-4CC2-B0F0-48DDABEB38C3}"/>
            </a:ext>
          </a:extLst>
        </xdr:cNvPr>
        <xdr:cNvCxnSpPr>
          <a:stCxn id="5" idx="0"/>
        </xdr:cNvCxnSpPr>
      </xdr:nvCxnSpPr>
      <xdr:spPr>
        <a:xfrm flipH="1" flipV="1">
          <a:off x="7667627" y="3543301"/>
          <a:ext cx="225872" cy="7213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98063</xdr:colOff>
      <xdr:row>14</xdr:row>
      <xdr:rowOff>94976</xdr:rowOff>
    </xdr:from>
    <xdr:to>
      <xdr:col>9</xdr:col>
      <xdr:colOff>1416844</xdr:colOff>
      <xdr:row>19</xdr:row>
      <xdr:rowOff>23812</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3302094" y="4321695"/>
          <a:ext cx="1973625" cy="108374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ysClr val="windowText" lastClr="000000"/>
              </a:solidFill>
              <a:latin typeface="Andalus" pitchFamily="18" charset="-78"/>
              <a:cs typeface="Andalus" pitchFamily="18" charset="-78"/>
            </a:rPr>
            <a:t>Calculated by taking the average of  tax rates in the last 4 years. Equal weight given to each rate as it remains fairly consistent.</a:t>
          </a:r>
        </a:p>
      </xdr:txBody>
    </xdr:sp>
    <xdr:clientData/>
  </xdr:twoCellAnchor>
  <xdr:twoCellAnchor>
    <xdr:from>
      <xdr:col>4</xdr:col>
      <xdr:colOff>1154773</xdr:colOff>
      <xdr:row>19</xdr:row>
      <xdr:rowOff>274748</xdr:rowOff>
    </xdr:from>
    <xdr:to>
      <xdr:col>9</xdr:col>
      <xdr:colOff>140001</xdr:colOff>
      <xdr:row>24</xdr:row>
      <xdr:rowOff>78442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0130685" y="5519101"/>
          <a:ext cx="3938228" cy="94669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cs typeface="Andalus" pitchFamily="18" charset="-78"/>
            </a:rPr>
            <a:t>The</a:t>
          </a:r>
          <a:r>
            <a:rPr lang="en-US" sz="1100" baseline="0">
              <a:cs typeface="Andalus" pitchFamily="18" charset="-78"/>
            </a:rPr>
            <a:t> CAPM model outlines what the cost of equity should be, and taking Eugene Fama's Efficient Market Hypothesis into account, </a:t>
          </a:r>
          <a:r>
            <a:rPr lang="en-US" sz="1100">
              <a:solidFill>
                <a:schemeClr val="dk1"/>
              </a:solidFill>
              <a:effectLst/>
              <a:latin typeface="+mn-lt"/>
              <a:ea typeface="+mn-ea"/>
              <a:cs typeface="+mn-cs"/>
            </a:rPr>
            <a:t>Square Pharmaceuticals Ltd's</a:t>
          </a:r>
          <a:r>
            <a:rPr lang="en-US" sz="1100" baseline="0">
              <a:cs typeface="Andalus" pitchFamily="18" charset="-78"/>
            </a:rPr>
            <a:t> cost of equity is likely to decrease over time. Thereby, a slightly higher weight is assigned to the CAPM Model.</a:t>
          </a:r>
          <a:endParaRPr lang="en-US" sz="1100"/>
        </a:p>
      </xdr:txBody>
    </xdr:sp>
    <xdr:clientData/>
  </xdr:twoCellAnchor>
  <xdr:oneCellAnchor>
    <xdr:from>
      <xdr:col>5</xdr:col>
      <xdr:colOff>22860</xdr:colOff>
      <xdr:row>9</xdr:row>
      <xdr:rowOff>167640</xdr:rowOff>
    </xdr:from>
    <xdr:ext cx="184731" cy="254557"/>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7086600" y="221742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twoCellAnchor>
    <xdr:from>
      <xdr:col>6</xdr:col>
      <xdr:colOff>11906</xdr:colOff>
      <xdr:row>16</xdr:row>
      <xdr:rowOff>142876</xdr:rowOff>
    </xdr:from>
    <xdr:to>
      <xdr:col>8</xdr:col>
      <xdr:colOff>98063</xdr:colOff>
      <xdr:row>16</xdr:row>
      <xdr:rowOff>148691</xdr:rowOff>
    </xdr:to>
    <xdr:cxnSp macro="">
      <xdr:nvCxnSpPr>
        <xdr:cNvPr id="5" name="Straight Arrow Connector 4">
          <a:extLst>
            <a:ext uri="{FF2B5EF4-FFF2-40B4-BE49-F238E27FC236}">
              <a16:creationId xmlns:a16="http://schemas.microsoft.com/office/drawing/2014/main" id="{B0EB81D8-1841-4EB2-95EA-0C44706EE1F2}"/>
            </a:ext>
          </a:extLst>
        </xdr:cNvPr>
        <xdr:cNvCxnSpPr>
          <a:endCxn id="2" idx="1"/>
        </xdr:cNvCxnSpPr>
      </xdr:nvCxnSpPr>
      <xdr:spPr>
        <a:xfrm>
          <a:off x="11906250" y="4857751"/>
          <a:ext cx="1395844" cy="58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1380435</xdr:colOff>
      <xdr:row>22</xdr:row>
      <xdr:rowOff>53330</xdr:rowOff>
    </xdr:from>
    <xdr:to>
      <xdr:col>4</xdr:col>
      <xdr:colOff>1154773</xdr:colOff>
      <xdr:row>23</xdr:row>
      <xdr:rowOff>138044</xdr:rowOff>
    </xdr:to>
    <xdr:cxnSp macro="">
      <xdr:nvCxnSpPr>
        <xdr:cNvPr id="12" name="Straight Arrow Connector 11">
          <a:extLst>
            <a:ext uri="{FF2B5EF4-FFF2-40B4-BE49-F238E27FC236}">
              <a16:creationId xmlns:a16="http://schemas.microsoft.com/office/drawing/2014/main" id="{4F90CA5A-65CB-400A-95B7-2F60DFBFF381}"/>
            </a:ext>
          </a:extLst>
        </xdr:cNvPr>
        <xdr:cNvCxnSpPr>
          <a:endCxn id="6" idx="1"/>
        </xdr:cNvCxnSpPr>
      </xdr:nvCxnSpPr>
      <xdr:spPr>
        <a:xfrm flipV="1">
          <a:off x="8966817" y="5992448"/>
          <a:ext cx="1163868" cy="2640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1164167</xdr:colOff>
      <xdr:row>11</xdr:row>
      <xdr:rowOff>14817</xdr:rowOff>
    </xdr:from>
    <xdr:to>
      <xdr:col>11</xdr:col>
      <xdr:colOff>455084</xdr:colOff>
      <xdr:row>26</xdr:row>
      <xdr:rowOff>59267</xdr:rowOff>
    </xdr:to>
    <xdr:graphicFrame macro="">
      <xdr:nvGraphicFramePr>
        <xdr:cNvPr id="3" name="Chart 2">
          <a:extLst>
            <a:ext uri="{FF2B5EF4-FFF2-40B4-BE49-F238E27FC236}">
              <a16:creationId xmlns:a16="http://schemas.microsoft.com/office/drawing/2014/main" id="{FD2A0AFE-6CE3-4B45-BD66-0EEF471AD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681037</xdr:colOff>
      <xdr:row>97</xdr:row>
      <xdr:rowOff>95250</xdr:rowOff>
    </xdr:from>
    <xdr:to>
      <xdr:col>9</xdr:col>
      <xdr:colOff>1300162</xdr:colOff>
      <xdr:row>111</xdr:row>
      <xdr:rowOff>171450</xdr:rowOff>
    </xdr:to>
    <xdr:graphicFrame macro="">
      <xdr:nvGraphicFramePr>
        <xdr:cNvPr id="4" name="Chart 3">
          <a:extLst>
            <a:ext uri="{FF2B5EF4-FFF2-40B4-BE49-F238E27FC236}">
              <a16:creationId xmlns:a16="http://schemas.microsoft.com/office/drawing/2014/main" id="{6A43C3B0-5AB2-4CCB-8A6E-D4B41EFAB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467893</xdr:colOff>
      <xdr:row>8</xdr:row>
      <xdr:rowOff>27847</xdr:rowOff>
    </xdr:from>
    <xdr:to>
      <xdr:col>21</xdr:col>
      <xdr:colOff>334210</xdr:colOff>
      <xdr:row>18</xdr:row>
      <xdr:rowOff>83553</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6333288" y="1498373"/>
          <a:ext cx="7686843" cy="1893864"/>
        </a:xfrm>
        <a:prstGeom prst="rect">
          <a:avLst/>
        </a:prstGeom>
        <a:solidFill>
          <a:schemeClr val="accent3">
            <a:lumMod val="50000"/>
          </a:schemeClr>
        </a:solidFill>
        <a:ln>
          <a:solidFill>
            <a:schemeClr val="tx2">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bg2"/>
              </a:solidFill>
            </a:rPr>
            <a:t>Taking all the factors below into account, Square Pharmaceuticals Ltd. is expected to grow remarkably beyond the forecasted years. Thereby, while being a bit conservative, a long term growth rate of </a:t>
          </a:r>
          <a:r>
            <a:rPr lang="en-US" sz="2800" b="1" baseline="0">
              <a:solidFill>
                <a:schemeClr val="bg2"/>
              </a:solidFill>
            </a:rPr>
            <a:t>6% </a:t>
          </a:r>
          <a:r>
            <a:rPr lang="en-US" sz="2400" baseline="0">
              <a:solidFill>
                <a:schemeClr val="bg2"/>
              </a:solidFill>
            </a:rPr>
            <a:t>is considered.</a:t>
          </a:r>
          <a:endParaRPr lang="en-US" sz="1600">
            <a:solidFill>
              <a:schemeClr val="bg2"/>
            </a:solidFill>
          </a:endParaRPr>
        </a:p>
      </xdr:txBody>
    </xdr:sp>
    <xdr:clientData/>
  </xdr:twoCellAnchor>
  <xdr:twoCellAnchor>
    <xdr:from>
      <xdr:col>2</xdr:col>
      <xdr:colOff>22279</xdr:colOff>
      <xdr:row>22</xdr:row>
      <xdr:rowOff>155962</xdr:rowOff>
    </xdr:from>
    <xdr:to>
      <xdr:col>9</xdr:col>
      <xdr:colOff>501315</xdr:colOff>
      <xdr:row>53</xdr:row>
      <xdr:rowOff>133684</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1325700" y="4199909"/>
          <a:ext cx="5041010" cy="5676012"/>
        </a:xfrm>
        <a:prstGeom prst="rect">
          <a:avLst/>
        </a:prstGeom>
        <a:solidFill>
          <a:schemeClr val="accent1">
            <a:lumMod val="20000"/>
            <a:lumOff val="8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COMPANY </a:t>
          </a:r>
        </a:p>
        <a:p>
          <a:pPr algn="ctr"/>
          <a:endParaRPr lang="en-US" sz="1400" b="1"/>
        </a:p>
        <a:p>
          <a:r>
            <a:rPr lang="en-US" sz="1800" b="1"/>
            <a:t>• Capacity Expansion</a:t>
          </a:r>
          <a:r>
            <a:rPr lang="en-US" sz="1800" b="0"/>
            <a:t>: Square Pharma has decided to expand its medicine production by forming a separate</a:t>
          </a:r>
          <a:r>
            <a:rPr lang="en-US" sz="1800" b="0" baseline="0"/>
            <a:t> subsidiary company which will be absolutely controlled by Square Pharma. For that it has decided to invest BDT 200 Crore. </a:t>
          </a:r>
          <a:endParaRPr lang="en-US" sz="1800" b="0"/>
        </a:p>
        <a:p>
          <a:endParaRPr lang="en-US" sz="1800" b="1"/>
        </a:p>
        <a:p>
          <a:r>
            <a:rPr lang="en-US" sz="1800" b="1"/>
            <a:t>• International Expansion: </a:t>
          </a:r>
          <a:r>
            <a:rPr lang="en-US" sz="1800" b="0"/>
            <a:t>The</a:t>
          </a:r>
          <a:r>
            <a:rPr lang="en-US" sz="1800" b="0" baseline="0"/>
            <a:t> Pharma Giant Square Pharma is going to be the first Bangladeshi Drugmaker to produce medicines in a foreign country which exports antibiotics and other pharmaceutical products to 42 foreign countries. </a:t>
          </a:r>
        </a:p>
        <a:p>
          <a:endParaRPr lang="en-US" sz="1800" b="0" baseline="0"/>
        </a:p>
        <a:p>
          <a:r>
            <a:rPr lang="en-US" sz="1800" b="0" baseline="0"/>
            <a:t>From August 2021 its production in Kenya will start and the company hopes to get hold of the $30 Million dollar drug market in kenya and five other East African Countries like - Tanzania, Rwanda, Burundi, Uganda, and South Sudan .</a:t>
          </a:r>
          <a:endParaRPr lang="en-US" sz="1600" b="0"/>
        </a:p>
        <a:p>
          <a:r>
            <a:rPr lang="en-US" sz="1600" b="0"/>
            <a:t>.</a:t>
          </a:r>
        </a:p>
        <a:p>
          <a:endParaRPr lang="en-US" sz="1400" b="1"/>
        </a:p>
        <a:p>
          <a:endParaRPr lang="en-US" sz="1400" b="1"/>
        </a:p>
      </xdr:txBody>
    </xdr:sp>
    <xdr:clientData/>
  </xdr:twoCellAnchor>
  <xdr:twoCellAnchor>
    <xdr:from>
      <xdr:col>20</xdr:col>
      <xdr:colOff>367631</xdr:colOff>
      <xdr:row>22</xdr:row>
      <xdr:rowOff>122545</xdr:rowOff>
    </xdr:from>
    <xdr:to>
      <xdr:col>27</xdr:col>
      <xdr:colOff>681789</xdr:colOff>
      <xdr:row>61</xdr:row>
      <xdr:rowOff>116974</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13401842" y="4166492"/>
          <a:ext cx="5193631" cy="7163245"/>
        </a:xfrm>
        <a:prstGeom prst="rect">
          <a:avLst/>
        </a:prstGeom>
        <a:solidFill>
          <a:schemeClr val="accent1">
            <a:lumMod val="20000"/>
            <a:lumOff val="8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ECONOMY</a:t>
          </a:r>
          <a:r>
            <a:rPr lang="en-US" sz="2000" baseline="0"/>
            <a:t> </a:t>
          </a:r>
        </a:p>
        <a:p>
          <a:endParaRPr lang="en-US" sz="2000" baseline="0"/>
        </a:p>
        <a:p>
          <a:r>
            <a:rPr lang="en-US" sz="1800" baseline="0">
              <a:latin typeface="Calibri"/>
              <a:cs typeface="Calibri"/>
            </a:rPr>
            <a:t>• </a:t>
          </a:r>
          <a:r>
            <a:rPr lang="en-US" sz="1800" baseline="0"/>
            <a:t>Bangladesh has had an impressive economic growth thus far and has even managed to dodge an economic contraction in 2020 despite the pandemic indicating a resilient economy. </a:t>
          </a:r>
        </a:p>
        <a:p>
          <a:endParaRPr lang="en-US" sz="2000" baseline="0"/>
        </a:p>
        <a:p>
          <a:r>
            <a:rPr lang="en-US" sz="1800" baseline="0">
              <a:latin typeface="Calibri"/>
              <a:cs typeface="Calibri"/>
            </a:rPr>
            <a:t>• </a:t>
          </a:r>
          <a:r>
            <a:rPr lang="en-US" sz="1800" baseline="0"/>
            <a:t>UK's Centre for Economics and Business Research forecasts Bangladesh's economy to be the 28th and 25the largest in 2030 and 2035 respectively. It also forecasts the GDP at current prices to increase to Tk. 64,422 billion by 2030 and Tk. 101,719 billion by 2035.  </a:t>
          </a:r>
        </a:p>
        <a:p>
          <a:endParaRPr lang="en-US" sz="1800" baseline="0"/>
        </a:p>
        <a:p>
          <a:r>
            <a:rPr lang="en-US" sz="1800" baseline="0">
              <a:latin typeface="Calibri"/>
              <a:cs typeface="Calibri"/>
            </a:rPr>
            <a:t>• </a:t>
          </a:r>
          <a:r>
            <a:rPr lang="en-US" sz="1800" baseline="0"/>
            <a:t>Bangladesh's per capita income is consistently rising and typically when people's income increases, so does their expenditure on healthcare and therefore pharmaceuticals.</a:t>
          </a:r>
        </a:p>
        <a:p>
          <a:endParaRPr lang="en-US" sz="18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t>
          </a:r>
          <a:r>
            <a:rPr lang="en-US" sz="1800" baseline="0">
              <a:solidFill>
                <a:schemeClr val="dk1"/>
              </a:solidFill>
              <a:effectLst/>
              <a:latin typeface="+mn-lt"/>
              <a:ea typeface="+mn-ea"/>
              <a:cs typeface="+mn-cs"/>
            </a:rPr>
            <a:t>In 2019, the year prior to the COVID-19, Bangladesh's GDP growth rate was 7.9%. Also, the country's GDP growth rate has shown an upward trend in recent years, a trend which is forecasted to continue.</a:t>
          </a:r>
          <a:endParaRPr lang="en-US" sz="2000">
            <a:effectLst/>
          </a:endParaRPr>
        </a:p>
        <a:p>
          <a:endParaRPr lang="en-US" sz="2000" baseline="0"/>
        </a:p>
        <a:p>
          <a:endParaRPr lang="en-US" sz="2000" baseline="0"/>
        </a:p>
        <a:p>
          <a:endParaRPr lang="en-US" sz="2000" baseline="0"/>
        </a:p>
        <a:p>
          <a:endParaRPr lang="en-US" sz="2000" baseline="0"/>
        </a:p>
        <a:p>
          <a:endParaRPr lang="en-US" sz="1400" baseline="0"/>
        </a:p>
      </xdr:txBody>
    </xdr:sp>
    <xdr:clientData/>
  </xdr:twoCellAnchor>
  <xdr:twoCellAnchor>
    <xdr:from>
      <xdr:col>11</xdr:col>
      <xdr:colOff>300792</xdr:colOff>
      <xdr:row>22</xdr:row>
      <xdr:rowOff>139253</xdr:rowOff>
    </xdr:from>
    <xdr:to>
      <xdr:col>19</xdr:col>
      <xdr:colOff>1</xdr:colOff>
      <xdr:row>53</xdr:row>
      <xdr:rowOff>150395</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7469608" y="4183200"/>
          <a:ext cx="4912893" cy="5709432"/>
        </a:xfrm>
        <a:prstGeom prst="rect">
          <a:avLst/>
        </a:prstGeom>
        <a:solidFill>
          <a:schemeClr val="accent1">
            <a:lumMod val="20000"/>
            <a:lumOff val="8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INDUSTRY </a:t>
          </a:r>
        </a:p>
        <a:p>
          <a:endParaRPr lang="en-US" sz="2000"/>
        </a:p>
        <a:p>
          <a:r>
            <a:rPr lang="en-US" sz="1800">
              <a:latin typeface="Calibri"/>
              <a:cs typeface="Calibri"/>
            </a:rPr>
            <a:t>• The </a:t>
          </a:r>
          <a:r>
            <a:rPr lang="en-US" sz="1800" b="1">
              <a:latin typeface="Calibri"/>
              <a:cs typeface="Calibri"/>
            </a:rPr>
            <a:t>TRIPS</a:t>
          </a:r>
          <a:r>
            <a:rPr lang="en-US" sz="1800" baseline="0">
              <a:latin typeface="Calibri"/>
              <a:cs typeface="Calibri"/>
            </a:rPr>
            <a:t> waiver for pharmaceuticals will expire at the end of 2032 and we expect by then the benefits of the waiver will be fully utilized. </a:t>
          </a:r>
          <a:r>
            <a:rPr lang="en-US" sz="1800" baseline="0">
              <a:latin typeface="+mn-lt"/>
              <a:cs typeface="+mn-cs"/>
            </a:rPr>
            <a:t>W</a:t>
          </a:r>
          <a:r>
            <a:rPr lang="en-US" sz="1800" baseline="0"/>
            <a:t>hich means pharmaceutical companies will enjoy benefits of producing drugs at a reduced cost for the next 12 years. </a:t>
          </a:r>
        </a:p>
        <a:p>
          <a:endParaRPr lang="en-US" sz="1800" baseline="0"/>
        </a:p>
        <a:p>
          <a:r>
            <a:rPr lang="en-US" sz="1800" baseline="0">
              <a:latin typeface="Calibri"/>
              <a:cs typeface="Calibri"/>
            </a:rPr>
            <a:t>• </a:t>
          </a:r>
          <a:r>
            <a:rPr lang="en-US" sz="1800" baseline="0"/>
            <a:t>We expect the trend of growing exports from the pharmaceuticals industry to continue in the long term. </a:t>
          </a:r>
        </a:p>
        <a:p>
          <a:endParaRPr lang="en-US" sz="1800" baseline="0"/>
        </a:p>
        <a:p>
          <a:r>
            <a:rPr lang="en-US" sz="1800" baseline="0">
              <a:latin typeface="Calibri"/>
              <a:cs typeface="Calibri"/>
            </a:rPr>
            <a:t>• </a:t>
          </a:r>
          <a:r>
            <a:rPr lang="en-US" sz="1800" baseline="0"/>
            <a:t>According to Research and Markets, a Dublin based market analysis firm, in the upcoming years the Bangladeshi government will play a major role in the rapid growth of the market by setting policies for easy drug approval, and producing the raw materials instead of importing. </a:t>
          </a:r>
        </a:p>
        <a:p>
          <a:endParaRPr lang="en-US" sz="1800" baseline="0"/>
        </a:p>
        <a:p>
          <a:endParaRPr lang="en-US" sz="1800" baseline="0"/>
        </a:p>
        <a:p>
          <a:endParaRPr lang="en-US" sz="1800" baseline="0"/>
        </a:p>
        <a:p>
          <a:endParaRPr lang="en-US" sz="1800" baseline="0"/>
        </a:p>
        <a:p>
          <a:endParaRPr lang="en-US" sz="1800" baseline="0"/>
        </a:p>
        <a:p>
          <a:endParaRPr lang="en-US" sz="1800"/>
        </a:p>
      </xdr:txBody>
    </xdr:sp>
    <xdr:clientData/>
  </xdr:twoCellAnchor>
  <xdr:twoCellAnchor>
    <xdr:from>
      <xdr:col>5</xdr:col>
      <xdr:colOff>587652</xdr:colOff>
      <xdr:row>18</xdr:row>
      <xdr:rowOff>83553</xdr:rowOff>
    </xdr:from>
    <xdr:to>
      <xdr:col>15</xdr:col>
      <xdr:colOff>401052</xdr:colOff>
      <xdr:row>22</xdr:row>
      <xdr:rowOff>155962</xdr:rowOff>
    </xdr:to>
    <xdr:cxnSp macro="">
      <xdr:nvCxnSpPr>
        <xdr:cNvPr id="8" name="Straight Arrow Connector 7">
          <a:extLst>
            <a:ext uri="{FF2B5EF4-FFF2-40B4-BE49-F238E27FC236}">
              <a16:creationId xmlns:a16="http://schemas.microsoft.com/office/drawing/2014/main" id="{737D3121-4C56-4ED6-A467-B209EC091C4F}"/>
            </a:ext>
          </a:extLst>
        </xdr:cNvPr>
        <xdr:cNvCxnSpPr>
          <a:stCxn id="3" idx="0"/>
          <a:endCxn id="2" idx="2"/>
        </xdr:cNvCxnSpPr>
      </xdr:nvCxnSpPr>
      <xdr:spPr>
        <a:xfrm flipV="1">
          <a:off x="3846205" y="3392237"/>
          <a:ext cx="6330505" cy="8076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150397</xdr:colOff>
      <xdr:row>18</xdr:row>
      <xdr:rowOff>83553</xdr:rowOff>
    </xdr:from>
    <xdr:to>
      <xdr:col>15</xdr:col>
      <xdr:colOff>401052</xdr:colOff>
      <xdr:row>22</xdr:row>
      <xdr:rowOff>139253</xdr:rowOff>
    </xdr:to>
    <xdr:cxnSp macro="">
      <xdr:nvCxnSpPr>
        <xdr:cNvPr id="10" name="Straight Arrow Connector 9">
          <a:extLst>
            <a:ext uri="{FF2B5EF4-FFF2-40B4-BE49-F238E27FC236}">
              <a16:creationId xmlns:a16="http://schemas.microsoft.com/office/drawing/2014/main" id="{3D234691-A78D-4DFC-B810-CA3025003365}"/>
            </a:ext>
          </a:extLst>
        </xdr:cNvPr>
        <xdr:cNvCxnSpPr>
          <a:stCxn id="5" idx="0"/>
          <a:endCxn id="2" idx="2"/>
        </xdr:cNvCxnSpPr>
      </xdr:nvCxnSpPr>
      <xdr:spPr>
        <a:xfrm flipV="1">
          <a:off x="9926055" y="3392237"/>
          <a:ext cx="250655" cy="7909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401052</xdr:colOff>
      <xdr:row>18</xdr:row>
      <xdr:rowOff>83553</xdr:rowOff>
    </xdr:from>
    <xdr:to>
      <xdr:col>24</xdr:col>
      <xdr:colOff>357605</xdr:colOff>
      <xdr:row>22</xdr:row>
      <xdr:rowOff>122545</xdr:rowOff>
    </xdr:to>
    <xdr:cxnSp macro="">
      <xdr:nvCxnSpPr>
        <xdr:cNvPr id="12" name="Straight Arrow Connector 11">
          <a:extLst>
            <a:ext uri="{FF2B5EF4-FFF2-40B4-BE49-F238E27FC236}">
              <a16:creationId xmlns:a16="http://schemas.microsoft.com/office/drawing/2014/main" id="{4F105E06-CB36-4137-AF6C-A876AC3105C5}"/>
            </a:ext>
          </a:extLst>
        </xdr:cNvPr>
        <xdr:cNvCxnSpPr>
          <a:stCxn id="4" idx="0"/>
          <a:endCxn id="2" idx="2"/>
        </xdr:cNvCxnSpPr>
      </xdr:nvCxnSpPr>
      <xdr:spPr>
        <a:xfrm flipH="1" flipV="1">
          <a:off x="10176710" y="3392237"/>
          <a:ext cx="5821948" cy="774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123266</xdr:colOff>
      <xdr:row>26</xdr:row>
      <xdr:rowOff>145678</xdr:rowOff>
    </xdr:from>
    <xdr:to>
      <xdr:col>4</xdr:col>
      <xdr:colOff>541621</xdr:colOff>
      <xdr:row>54</xdr:row>
      <xdr:rowOff>168090</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784413" y="6779560"/>
          <a:ext cx="3544796" cy="5042648"/>
        </a:xfrm>
        <a:prstGeom prst="rect">
          <a:avLst/>
        </a:prstGeom>
        <a:solidFill>
          <a:schemeClr val="accent2">
            <a:lumMod val="20000"/>
            <a:lumOff val="80000"/>
          </a:schemeClr>
        </a:solidFill>
        <a:ln w="9525" cmpd="sng">
          <a:solidFill>
            <a:schemeClr val="accent3">
              <a:lumMod val="20000"/>
              <a:lumOff val="8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1. Huge</a:t>
          </a:r>
          <a:r>
            <a:rPr lang="en-US" sz="1800" b="1" baseline="0">
              <a:solidFill>
                <a:schemeClr val="dk1"/>
              </a:solidFill>
              <a:latin typeface="+mn-lt"/>
              <a:ea typeface="+mn-ea"/>
              <a:cs typeface="+mn-cs"/>
            </a:rPr>
            <a:t> upside potential of 47.87% </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1"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Square Pharma is usually a long term holding stock, with good corporate governance and business structure and regular dividend payments.</a:t>
          </a:r>
          <a:endParaRPr lang="en-US" sz="1400" b="0"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latin typeface="+mn-lt"/>
              <a:ea typeface="+mn-ea"/>
              <a:cs typeface="+mn-cs"/>
            </a:rPr>
            <a:t>Given the incredibly enticing future prospects of </a:t>
          </a:r>
          <a:r>
            <a:rPr lang="en-US" sz="1400" baseline="0">
              <a:solidFill>
                <a:schemeClr val="dk1"/>
              </a:solidFill>
              <a:effectLst/>
              <a:latin typeface="+mn-lt"/>
              <a:ea typeface="+mn-ea"/>
              <a:cs typeface="+mn-cs"/>
            </a:rPr>
            <a:t>Square Pharmaceuticals Ltd. </a:t>
          </a:r>
          <a:r>
            <a:rPr lang="en-US" sz="1400" b="0" baseline="0">
              <a:solidFill>
                <a:schemeClr val="dk1"/>
              </a:solidFill>
              <a:latin typeface="+mn-lt"/>
              <a:ea typeface="+mn-ea"/>
              <a:cs typeface="+mn-cs"/>
            </a:rPr>
            <a:t>, the Pharmaceuticals &amp; Chemicals industry, and the Bangladesh economy, a rather conservative long term growth rate of 6% was fixed upon. Similarly, a reserved approach was taken when computing the enterprise valuation using the Consolidated Cash Flows and Pro-forma accounting methods. Despite the cautious optimism, the DCF enterprise value of </a:t>
          </a:r>
          <a:r>
            <a:rPr lang="en-US" sz="1400" baseline="0">
              <a:solidFill>
                <a:schemeClr val="dk1"/>
              </a:solidFill>
              <a:effectLst/>
              <a:latin typeface="+mn-lt"/>
              <a:ea typeface="+mn-ea"/>
              <a:cs typeface="+mn-cs"/>
            </a:rPr>
            <a:t>Square Pharmaceuticals Ltd. </a:t>
          </a:r>
          <a:r>
            <a:rPr lang="en-US" sz="1400" b="0" baseline="0">
              <a:solidFill>
                <a:schemeClr val="dk1"/>
              </a:solidFill>
              <a:latin typeface="+mn-lt"/>
              <a:ea typeface="+mn-ea"/>
              <a:cs typeface="+mn-cs"/>
            </a:rPr>
            <a:t>has an immense upside potential of 29.00% compared to the market price, a figure which unreservedly warrants a robust buy recommendation.</a:t>
          </a:r>
          <a:endParaRPr lang="en-US" sz="1400" b="0">
            <a:solidFill>
              <a:schemeClr val="dk1"/>
            </a:solidFill>
            <a:latin typeface="+mn-lt"/>
            <a:ea typeface="+mn-ea"/>
            <a:cs typeface="+mn-cs"/>
          </a:endParaRPr>
        </a:p>
        <a:p>
          <a:endParaRPr lang="en-US" sz="1400"/>
        </a:p>
      </xdr:txBody>
    </xdr:sp>
    <xdr:clientData/>
  </xdr:twoCellAnchor>
  <xdr:oneCellAnchor>
    <xdr:from>
      <xdr:col>13</xdr:col>
      <xdr:colOff>7620</xdr:colOff>
      <xdr:row>10</xdr:row>
      <xdr:rowOff>68580</xdr:rowOff>
    </xdr:from>
    <xdr:ext cx="184731" cy="254557"/>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2513945" y="187833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twoCellAnchor>
    <xdr:from>
      <xdr:col>8</xdr:col>
      <xdr:colOff>1785001</xdr:colOff>
      <xdr:row>57</xdr:row>
      <xdr:rowOff>48043</xdr:rowOff>
    </xdr:from>
    <xdr:to>
      <xdr:col>14</xdr:col>
      <xdr:colOff>649940</xdr:colOff>
      <xdr:row>81</xdr:row>
      <xdr:rowOff>78442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18448148" y="12240043"/>
          <a:ext cx="5375557" cy="4333458"/>
        </a:xfrm>
        <a:prstGeom prst="rect">
          <a:avLst/>
        </a:prstGeom>
        <a:solidFill>
          <a:schemeClr val="accent1">
            <a:lumMod val="20000"/>
            <a:lumOff val="8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800" b="1"/>
            <a:t>4. Until 2032: </a:t>
          </a:r>
          <a:r>
            <a:rPr lang="en-US" sz="1800" b="1">
              <a:solidFill>
                <a:schemeClr val="dk1"/>
              </a:solidFill>
              <a:effectLst/>
              <a:latin typeface="+mn-lt"/>
              <a:ea typeface="+mn-ea"/>
              <a:cs typeface="+mn-cs"/>
            </a:rPr>
            <a:t>Square Pharma</a:t>
          </a:r>
          <a:r>
            <a:rPr lang="en-US" sz="1800" b="1" baseline="0"/>
            <a:t> will continue to reap the benefits of the TRIPs waiver</a:t>
          </a:r>
          <a:endParaRPr lang="en-US" sz="1800" b="1"/>
        </a:p>
        <a:p>
          <a:endParaRPr lang="en-US" sz="1400"/>
        </a:p>
        <a:p>
          <a:r>
            <a:rPr lang="en-US" sz="1400"/>
            <a:t>Approximately one-fifth of the drugs manufactured in the country are patented in other countries, which is made possible by</a:t>
          </a:r>
          <a:r>
            <a:rPr lang="en-US" sz="1400" baseline="0"/>
            <a:t> the TRIPS</a:t>
          </a:r>
          <a:r>
            <a:rPr lang="en-US" sz="1400"/>
            <a:t> waiver which, until 2032, enables LDCs to manufacture patented drugs without first asking patent holders. The most apparent advantage of the exemption is that </a:t>
          </a:r>
          <a:r>
            <a:rPr lang="en-US" sz="1400" b="1">
              <a:solidFill>
                <a:schemeClr val="dk1"/>
              </a:solidFill>
              <a:effectLst/>
              <a:latin typeface="+mn-lt"/>
              <a:ea typeface="+mn-ea"/>
              <a:cs typeface="+mn-cs"/>
            </a:rPr>
            <a:t>Square Pharma</a:t>
          </a:r>
          <a:r>
            <a:rPr lang="en-US" sz="1400"/>
            <a:t> will produce any medications it likes, greatly reducing prices and improving availability. Under the waiver Bangladesh as an LDC, </a:t>
          </a:r>
          <a:r>
            <a:rPr lang="en-US" sz="1400" b="1">
              <a:solidFill>
                <a:schemeClr val="dk1"/>
              </a:solidFill>
              <a:effectLst/>
              <a:latin typeface="+mn-lt"/>
              <a:ea typeface="+mn-ea"/>
              <a:cs typeface="+mn-cs"/>
            </a:rPr>
            <a:t>Square</a:t>
          </a:r>
          <a:r>
            <a:rPr lang="en-US" sz="1400"/>
            <a:t> can also export generic versions of patented drugs to any country where they are not patented</a:t>
          </a:r>
          <a:r>
            <a:rPr lang="en-US" sz="1400" baseline="0"/>
            <a:t> i.g.</a:t>
          </a:r>
          <a:r>
            <a:rPr lang="en-US" sz="1400"/>
            <a:t> Myanmar.</a:t>
          </a:r>
        </a:p>
        <a:p>
          <a:r>
            <a:rPr lang="en-US" sz="1400"/>
            <a:t>While Bangladesh is going</a:t>
          </a:r>
          <a:r>
            <a:rPr lang="en-US" sz="1400" baseline="0"/>
            <a:t> to graduate from being an LDC by 2032, </a:t>
          </a:r>
          <a:r>
            <a:rPr lang="en-US" sz="1400" b="1">
              <a:solidFill>
                <a:schemeClr val="dk1"/>
              </a:solidFill>
              <a:effectLst/>
              <a:latin typeface="+mn-lt"/>
              <a:ea typeface="+mn-ea"/>
              <a:cs typeface="+mn-cs"/>
            </a:rPr>
            <a:t>Square Pharma</a:t>
          </a:r>
          <a:r>
            <a:rPr lang="en-US" sz="1400" baseline="0"/>
            <a:t> will continue to reap the benefits of the waiver to fuel its growth during this period, and expand further beyond the country's borders when the waiver is no longer in effect. These twelve years are an ideal buffer period for </a:t>
          </a:r>
          <a:r>
            <a:rPr lang="en-US" sz="1400" b="1">
              <a:solidFill>
                <a:schemeClr val="dk1"/>
              </a:solidFill>
              <a:effectLst/>
              <a:latin typeface="+mn-lt"/>
              <a:ea typeface="+mn-ea"/>
              <a:cs typeface="+mn-cs"/>
            </a:rPr>
            <a:t>Square Pharma</a:t>
          </a:r>
          <a:r>
            <a:rPr lang="en-US" sz="1400" baseline="0"/>
            <a:t> to collect all the puzzle pieces for its next phase of development. </a:t>
          </a:r>
          <a:endParaRPr lang="en-US" sz="1400"/>
        </a:p>
      </xdr:txBody>
    </xdr:sp>
    <xdr:clientData/>
  </xdr:twoCellAnchor>
  <xdr:twoCellAnchor>
    <xdr:from>
      <xdr:col>9</xdr:col>
      <xdr:colOff>39445</xdr:colOff>
      <xdr:row>34</xdr:row>
      <xdr:rowOff>123067</xdr:rowOff>
    </xdr:from>
    <xdr:to>
      <xdr:col>19</xdr:col>
      <xdr:colOff>508000</xdr:colOff>
      <xdr:row>49</xdr:row>
      <xdr:rowOff>11207</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19907474" y="8191302"/>
          <a:ext cx="7080026" cy="2577552"/>
        </a:xfrm>
        <a:prstGeom prst="rect">
          <a:avLst/>
        </a:prstGeom>
        <a:solidFill>
          <a:schemeClr val="bg2">
            <a:lumMod val="95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indent="0" algn="ctr"/>
          <a:r>
            <a:rPr lang="en-US" sz="1800" b="1">
              <a:solidFill>
                <a:schemeClr val="dk1"/>
              </a:solidFill>
              <a:latin typeface="+mn-lt"/>
              <a:ea typeface="+mn-ea"/>
              <a:cs typeface="+mn-cs"/>
            </a:rPr>
            <a:t>5. Beyond 2032: </a:t>
          </a:r>
          <a:r>
            <a:rPr lang="en-US" sz="1800" b="1">
              <a:solidFill>
                <a:schemeClr val="dk1"/>
              </a:solidFill>
              <a:effectLst/>
              <a:latin typeface="+mn-lt"/>
              <a:ea typeface="+mn-ea"/>
              <a:cs typeface="+mn-cs"/>
            </a:rPr>
            <a:t>Square Pharma</a:t>
          </a:r>
          <a:r>
            <a:rPr lang="en-US" sz="1800" b="1">
              <a:solidFill>
                <a:schemeClr val="dk1"/>
              </a:solidFill>
              <a:latin typeface="+mn-lt"/>
              <a:ea typeface="+mn-ea"/>
              <a:cs typeface="+mn-cs"/>
            </a:rPr>
            <a:t> will expand to LDCs</a:t>
          </a:r>
          <a:r>
            <a:rPr lang="en-US" sz="1800" b="1" baseline="0">
              <a:solidFill>
                <a:schemeClr val="dk1"/>
              </a:solidFill>
              <a:latin typeface="+mn-lt"/>
              <a:ea typeface="+mn-ea"/>
              <a:cs typeface="+mn-cs"/>
            </a:rPr>
            <a:t> where the TRIPs waiver is still in effect</a:t>
          </a:r>
          <a:endParaRPr lang="en-US" sz="1800" b="1">
            <a:solidFill>
              <a:schemeClr val="dk1"/>
            </a:solidFill>
            <a:latin typeface="+mn-lt"/>
            <a:ea typeface="+mn-ea"/>
            <a:cs typeface="+mn-cs"/>
          </a:endParaRP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Square Pharma</a:t>
          </a:r>
          <a:r>
            <a:rPr lang="en-US" sz="1400" b="1" baseline="0">
              <a:solidFill>
                <a:schemeClr val="dk1"/>
              </a:solidFill>
              <a:effectLst/>
              <a:latin typeface="+mn-lt"/>
              <a:ea typeface="+mn-ea"/>
              <a:cs typeface="+mn-cs"/>
            </a:rPr>
            <a:t> </a:t>
          </a:r>
          <a:r>
            <a:rPr lang="en-US" sz="1400" b="0" baseline="0">
              <a:solidFill>
                <a:schemeClr val="dk1"/>
              </a:solidFill>
              <a:effectLst/>
              <a:latin typeface="+mn-lt"/>
              <a:ea typeface="+mn-ea"/>
              <a:cs typeface="+mn-cs"/>
            </a:rPr>
            <a:t>from August 2021 will start its production in Kenya and the company hopes to get hold of the $30 Million dollar drug market in kenya and five other East African Countries like - Tanzania, Rwanda, Burundi, Uganda, and South Sudan .</a:t>
          </a:r>
          <a:endParaRPr lang="en-US" sz="1400">
            <a:effectLst/>
          </a:endParaRPr>
        </a:p>
        <a:p>
          <a:r>
            <a:rPr lang="en-US" sz="1400"/>
            <a:t>Besides it has plans to expand</a:t>
          </a:r>
          <a:r>
            <a:rPr lang="en-US" sz="1400" baseline="0"/>
            <a:t> futher in foreign countries while meeting the demand of those foreign countries.</a:t>
          </a:r>
          <a:endParaRPr lang="en-US" sz="1400"/>
        </a:p>
      </xdr:txBody>
    </xdr:sp>
    <xdr:clientData/>
  </xdr:twoCellAnchor>
  <xdr:twoCellAnchor>
    <xdr:from>
      <xdr:col>5</xdr:col>
      <xdr:colOff>795619</xdr:colOff>
      <xdr:row>56</xdr:row>
      <xdr:rowOff>125368</xdr:rowOff>
    </xdr:from>
    <xdr:to>
      <xdr:col>8</xdr:col>
      <xdr:colOff>1467971</xdr:colOff>
      <xdr:row>97</xdr:row>
      <xdr:rowOff>112059</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8852648" y="12138074"/>
          <a:ext cx="9278470" cy="733775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800" b="1">
              <a:solidFill>
                <a:schemeClr val="dk1"/>
              </a:solidFill>
              <a:effectLst/>
              <a:latin typeface="+mn-lt"/>
              <a:ea typeface="+mn-ea"/>
              <a:cs typeface="+mn-cs"/>
            </a:rPr>
            <a:t>3. Square Pharma's competitive advantage and its exemplary corporate governance</a:t>
          </a:r>
        </a:p>
        <a:p>
          <a:endParaRPr lang="en-US" sz="1800">
            <a:solidFill>
              <a:schemeClr val="dk1"/>
            </a:solidFill>
            <a:effectLst/>
            <a:latin typeface="+mn-lt"/>
            <a:ea typeface="+mn-ea"/>
            <a:cs typeface="+mn-cs"/>
          </a:endParaRPr>
        </a:p>
        <a:p>
          <a:r>
            <a:rPr lang="en-US" sz="1400">
              <a:solidFill>
                <a:schemeClr val="dk1"/>
              </a:solidFill>
              <a:effectLst/>
              <a:latin typeface="+mn-lt"/>
              <a:ea typeface="+mn-ea"/>
              <a:cs typeface="+mn-cs"/>
            </a:rPr>
            <a:t>SQUARE PHARMA is one of the leading companies in the country's pharmaceutical industry and could attain almost 15% of the local market. The strengths of achieving such a position in the industry are:</a:t>
          </a:r>
        </a:p>
        <a:p>
          <a:endParaRPr lang="en-US" sz="1400">
            <a:solidFill>
              <a:schemeClr val="dk1"/>
            </a:solidFill>
            <a:effectLst/>
            <a:latin typeface="+mn-lt"/>
            <a:ea typeface="+mn-ea"/>
            <a:cs typeface="+mn-cs"/>
          </a:endParaRPr>
        </a:p>
        <a:p>
          <a:r>
            <a:rPr lang="en-US" sz="1400" b="1" u="sng">
              <a:solidFill>
                <a:schemeClr val="dk1"/>
              </a:solidFill>
              <a:effectLst/>
              <a:latin typeface="+mn-lt"/>
              <a:ea typeface="+mn-ea"/>
              <a:cs typeface="+mn-cs"/>
            </a:rPr>
            <a:t>Brand Leadership</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A survey showed that 27 of SQUARE PHARMA's products are brand leaders out of 47 products, while ten stand second.</a:t>
          </a:r>
        </a:p>
        <a:p>
          <a:r>
            <a:rPr lang="en-US" sz="1400" b="1" u="sng">
              <a:solidFill>
                <a:schemeClr val="dk1"/>
              </a:solidFill>
              <a:effectLst/>
              <a:latin typeface="+mn-lt"/>
              <a:ea typeface="+mn-ea"/>
              <a:cs typeface="+mn-cs"/>
            </a:rPr>
            <a:t>Market Recognition</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SQUARE PHARMA has secured market recognition in the market through innovative marketing strategies and aggressive product promotion. The company's strong support to the medical community has gained its brand loyalty from the doctors.</a:t>
          </a:r>
        </a:p>
        <a:p>
          <a:r>
            <a:rPr lang="en-US" sz="1400" b="1" u="sng">
              <a:solidFill>
                <a:schemeClr val="dk1"/>
              </a:solidFill>
              <a:effectLst/>
              <a:latin typeface="+mn-lt"/>
              <a:ea typeface="+mn-ea"/>
              <a:cs typeface="+mn-cs"/>
            </a:rPr>
            <a:t>Market Growth</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The market is expected to grow by 15 to 20% per annum for the next five years. The compounded annual growth for the previous six years was 15%. The next stage of development is expected to come from backward integration to manufacture high-volume raw materials, introducing Hi-Tech manufacturing processes that are difficult to imitate products and exports.</a:t>
          </a:r>
        </a:p>
        <a:p>
          <a:r>
            <a:rPr lang="en-US" sz="1400" b="1" u="sng">
              <a:solidFill>
                <a:schemeClr val="dk1"/>
              </a:solidFill>
              <a:effectLst/>
              <a:latin typeface="+mn-lt"/>
              <a:ea typeface="+mn-ea"/>
              <a:cs typeface="+mn-cs"/>
            </a:rPr>
            <a:t>Aggressive Diversification</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SQUARE PHARMA is keen to diversify its capacity of production and market. Strong export demand and international product registration have led SQUARE PHARMA to embark on a massive capacity expansion, as evident in the development of the plant and establishment of the new plant in compliance with the FDA (Federal Drug Association) quality mark.</a:t>
          </a:r>
        </a:p>
        <a:p>
          <a:r>
            <a:rPr lang="en-US" sz="1400" b="1" u="sng">
              <a:solidFill>
                <a:schemeClr val="dk1"/>
              </a:solidFill>
              <a:effectLst/>
              <a:latin typeface="+mn-lt"/>
              <a:ea typeface="+mn-ea"/>
              <a:cs typeface="+mn-cs"/>
            </a:rPr>
            <a:t>Basic Chemicals and Multipurpose Chemical Plant</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Bulk antibiotics such as Amoxycillin, ampicillin, and cloxacillin are being produced with an installed capacity of 35 tons per month. It will introduce Cephalexin and Cephradine very soon; like-wise in its multi-purpose unit, Amlodipine, Fluconazole, Clotrimazole, Cetirizine Hcl, Tramadol, and Riboflavin 5-phosphate sodium will be quickly produced.</a:t>
          </a:r>
        </a:p>
        <a:p>
          <a:r>
            <a:rPr lang="en-US" sz="1400" b="1" u="sng">
              <a:solidFill>
                <a:schemeClr val="dk1"/>
              </a:solidFill>
              <a:effectLst/>
              <a:latin typeface="+mn-lt"/>
              <a:ea typeface="+mn-ea"/>
              <a:cs typeface="+mn-cs"/>
            </a:rPr>
            <a:t>Opportunities</a:t>
          </a:r>
          <a:endParaRPr lang="en-US" sz="1400">
            <a:solidFill>
              <a:schemeClr val="dk1"/>
            </a:solidFill>
            <a:effectLst/>
            <a:latin typeface="+mn-lt"/>
            <a:ea typeface="+mn-ea"/>
            <a:cs typeface="+mn-cs"/>
          </a:endParaRPr>
        </a:p>
        <a:p>
          <a:r>
            <a:rPr lang="en-US" sz="1400">
              <a:solidFill>
                <a:schemeClr val="dk1"/>
              </a:solidFill>
              <a:effectLst/>
              <a:latin typeface="+mn-lt"/>
              <a:ea typeface="+mn-ea"/>
              <a:cs typeface="+mn-cs"/>
            </a:rPr>
            <a:t>There are some of the sectors where SQUARE PHARMA has not entered, but that possess ample opportunities. One such sector is SVP or small volume Parenteral that is known as injections in the market. Due to having the quality attainment capability evident in producing IV products, expertise, and resource, SQUARE PHARMA should immediately think of this product and decide upon having the feasibility study.</a:t>
          </a:r>
        </a:p>
        <a:p>
          <a:r>
            <a:rPr lang="en-US" sz="1400">
              <a:solidFill>
                <a:schemeClr val="dk1"/>
              </a:solidFill>
              <a:effectLst/>
              <a:latin typeface="+mn-lt"/>
              <a:ea typeface="+mn-ea"/>
              <a:cs typeface="+mn-cs"/>
            </a:rPr>
            <a:t>The international market is also another very lucrative sector for SQUARE PHARMA. The low cost of products is an essential upper hand for SQUARE PHARMA to market its products globally. The new FDA-compliant plant will assist SQUARE PHARMA to confirm the world market about the quality of its products.</a:t>
          </a:r>
        </a:p>
        <a:p>
          <a:r>
            <a:rPr lang="en-US" sz="1600">
              <a:solidFill>
                <a:schemeClr val="dk1"/>
              </a:solidFill>
              <a:effectLst/>
              <a:latin typeface="+mn-lt"/>
              <a:ea typeface="+mn-ea"/>
              <a:cs typeface="+mn-cs"/>
            </a:rPr>
            <a:t> </a:t>
          </a:r>
        </a:p>
      </xdr:txBody>
    </xdr:sp>
    <xdr:clientData/>
  </xdr:twoCellAnchor>
  <xdr:twoCellAnchor>
    <xdr:from>
      <xdr:col>3</xdr:col>
      <xdr:colOff>1800226</xdr:colOff>
      <xdr:row>56</xdr:row>
      <xdr:rowOff>171615</xdr:rowOff>
    </xdr:from>
    <xdr:to>
      <xdr:col>5</xdr:col>
      <xdr:colOff>381000</xdr:colOff>
      <xdr:row>78</xdr:row>
      <xdr:rowOff>33618</xdr:rowOff>
    </xdr:to>
    <xdr:sp macro="" textlink="">
      <xdr:nvSpPr>
        <xdr:cNvPr id="7" name="TextBox 6">
          <a:extLst>
            <a:ext uri="{FF2B5EF4-FFF2-40B4-BE49-F238E27FC236}">
              <a16:creationId xmlns:a16="http://schemas.microsoft.com/office/drawing/2014/main" id="{00000000-0008-0000-0E00-000007000000}"/>
            </a:ext>
          </a:extLst>
        </xdr:cNvPr>
        <xdr:cNvSpPr txBox="1"/>
      </xdr:nvSpPr>
      <xdr:spPr>
        <a:xfrm>
          <a:off x="3783667" y="12184321"/>
          <a:ext cx="4654362" cy="3806473"/>
        </a:xfrm>
        <a:prstGeom prst="rect">
          <a:avLst/>
        </a:prstGeom>
        <a:solidFill>
          <a:srgbClr val="A9D5E7"/>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2. Weight of Debt and Low Cost of Debt- Baseline to build for the future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solidFill>
                <a:schemeClr val="dk1"/>
              </a:solidFill>
              <a:effectLst/>
              <a:latin typeface="+mn-lt"/>
              <a:ea typeface="+mn-ea"/>
              <a:cs typeface="+mn-cs"/>
            </a:rPr>
            <a:t>Square Pharma's</a:t>
          </a:r>
          <a:r>
            <a:rPr lang="en-US" sz="1400">
              <a:solidFill>
                <a:schemeClr val="dk1"/>
              </a:solidFill>
              <a:effectLst/>
              <a:latin typeface="+mn-lt"/>
              <a:ea typeface="+mn-ea"/>
              <a:cs typeface="+mn-cs"/>
            </a:rPr>
            <a:t> low historical cost of debt and</a:t>
          </a:r>
          <a:r>
            <a:rPr lang="en-US" sz="1400" baseline="0">
              <a:solidFill>
                <a:schemeClr val="dk1"/>
              </a:solidFill>
              <a:effectLst/>
              <a:latin typeface="+mn-lt"/>
              <a:ea typeface="+mn-ea"/>
              <a:cs typeface="+mn-cs"/>
            </a:rPr>
            <a:t> its immense enterprise market value suggest that creditors and the investors deservedly have incredible faith in the enterprise's intangible assets. Over time, given Square Pharma's remarkable performance in recent years, these intangible assets will continue to grow. Coupling this notion is the fact that the firm only has lowest amount of debt, relative to equity, and there is enormous scope to take on more debt in the future, which will significantly decrease Square Pharma's weighted average cost of capital.  Therefore, the current low weight of debt presents Square Pharma with an easy route to sustain its growth, and to carry on its expansion plans in the future.</a:t>
          </a:r>
          <a:endParaRPr lang="en-US" sz="1400">
            <a:effectLst/>
          </a:endParaRPr>
        </a:p>
        <a:p>
          <a:endParaRPr lang="en-US" sz="1100"/>
        </a:p>
      </xdr:txBody>
    </xdr:sp>
    <xdr:clientData/>
  </xdr:twoCellAnchor>
  <xdr:twoCellAnchor>
    <xdr:from>
      <xdr:col>6</xdr:col>
      <xdr:colOff>933283</xdr:colOff>
      <xdr:row>16</xdr:row>
      <xdr:rowOff>31749</xdr:rowOff>
    </xdr:from>
    <xdr:to>
      <xdr:col>7</xdr:col>
      <xdr:colOff>434474</xdr:colOff>
      <xdr:row>20</xdr:row>
      <xdr:rowOff>167105</xdr:rowOff>
    </xdr:to>
    <xdr:sp macro="" textlink="">
      <xdr:nvSpPr>
        <xdr:cNvPr id="8" name="Down Arrow 1">
          <a:extLst>
            <a:ext uri="{FF2B5EF4-FFF2-40B4-BE49-F238E27FC236}">
              <a16:creationId xmlns:a16="http://schemas.microsoft.com/office/drawing/2014/main" id="{085BEF94-47A8-441F-B729-93103FF22975}"/>
            </a:ext>
          </a:extLst>
        </xdr:cNvPr>
        <xdr:cNvSpPr/>
      </xdr:nvSpPr>
      <xdr:spPr>
        <a:xfrm>
          <a:off x="11176836" y="4911223"/>
          <a:ext cx="771191" cy="870619"/>
        </a:xfrm>
        <a:prstGeom prst="downArrow">
          <a:avLst/>
        </a:prstGeom>
        <a:solidFill>
          <a:schemeClr val="accent2">
            <a:lumMod val="60000"/>
            <a:lumOff val="40000"/>
          </a:schemeClr>
        </a:solidFill>
        <a:ln w="28575">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2653608</xdr:colOff>
      <xdr:row>21</xdr:row>
      <xdr:rowOff>157413</xdr:rowOff>
    </xdr:from>
    <xdr:to>
      <xdr:col>8</xdr:col>
      <xdr:colOff>1435100</xdr:colOff>
      <xdr:row>50</xdr:row>
      <xdr:rowOff>101600</xdr:rowOff>
    </xdr:to>
    <xdr:sp macro="" textlink="">
      <xdr:nvSpPr>
        <xdr:cNvPr id="9" name="Oval 8">
          <a:extLst>
            <a:ext uri="{FF2B5EF4-FFF2-40B4-BE49-F238E27FC236}">
              <a16:creationId xmlns:a16="http://schemas.microsoft.com/office/drawing/2014/main" id="{4D4E81FC-AAFB-4962-8E64-0AFECF6F3484}"/>
            </a:ext>
          </a:extLst>
        </xdr:cNvPr>
        <xdr:cNvSpPr/>
      </xdr:nvSpPr>
      <xdr:spPr>
        <a:xfrm>
          <a:off x="7695508" y="5859713"/>
          <a:ext cx="8357292" cy="5100387"/>
        </a:xfrm>
        <a:prstGeom prst="ellipse">
          <a:avLst/>
        </a:prstGeom>
        <a:solidFill>
          <a:schemeClr val="accent6">
            <a:lumMod val="50000"/>
            <a:alpha val="92941"/>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b="1" i="0" u="none" cap="none" spc="0">
              <a:ln w="13462">
                <a:solidFill>
                  <a:schemeClr val="bg1"/>
                </a:solidFill>
                <a:prstDash val="solid"/>
              </a:ln>
              <a:solidFill>
                <a:schemeClr val="bg2"/>
              </a:solidFill>
              <a:effectLst>
                <a:outerShdw dist="38100" dir="2700000" algn="bl" rotWithShape="0">
                  <a:schemeClr val="accent5"/>
                </a:outerShdw>
              </a:effectLst>
            </a:rPr>
            <a:t>BUY </a:t>
          </a:r>
        </a:p>
        <a:p>
          <a:pPr algn="l"/>
          <a:r>
            <a:rPr lang="en-GB" sz="1800" b="0" i="0" u="none" cap="none" spc="0" baseline="0">
              <a:ln w="0"/>
              <a:solidFill>
                <a:schemeClr val="bg2"/>
              </a:solidFill>
              <a:effectLst>
                <a:outerShdw blurRad="38100" dist="19050" dir="2700000" algn="tl" rotWithShape="0">
                  <a:schemeClr val="dk1">
                    <a:alpha val="40000"/>
                  </a:schemeClr>
                </a:outerShdw>
              </a:effectLst>
            </a:rPr>
            <a:t>We are issuing a strong BUY recommendation for </a:t>
          </a:r>
          <a:r>
            <a:rPr lang="en-US" sz="1800" baseline="0">
              <a:solidFill>
                <a:schemeClr val="lt1"/>
              </a:solidFill>
              <a:effectLst/>
              <a:latin typeface="+mn-lt"/>
              <a:ea typeface="+mn-ea"/>
              <a:cs typeface="+mn-cs"/>
            </a:rPr>
            <a:t>Square Pharmaceuticals Ltd</a:t>
          </a:r>
          <a:r>
            <a:rPr lang="en-US" sz="1100" baseline="0">
              <a:solidFill>
                <a:schemeClr val="lt1"/>
              </a:solidFill>
              <a:effectLst/>
              <a:latin typeface="+mn-lt"/>
              <a:ea typeface="+mn-ea"/>
              <a:cs typeface="+mn-cs"/>
            </a:rPr>
            <a:t>. </a:t>
          </a:r>
          <a:r>
            <a:rPr lang="en-GB" sz="1800" b="0" i="0" u="none" cap="none" spc="0" baseline="0">
              <a:ln w="0"/>
              <a:solidFill>
                <a:schemeClr val="bg2"/>
              </a:solidFill>
              <a:effectLst>
                <a:outerShdw blurRad="38100" dist="19050" dir="2700000" algn="tl" rotWithShape="0">
                  <a:schemeClr val="dk1">
                    <a:alpha val="40000"/>
                  </a:schemeClr>
                </a:outerShdw>
              </a:effectLst>
            </a:rPr>
            <a:t>, with a target price of BDT 281.09. Taking into account the market conditions and macroeconomic factors, our target price was forecasted using two alternative methods of Discounted Cash Flow (DCF) valuation- the Pro-forma accounting method and the Consolidated Cash Flows (CCF) method. Our target price illustrates a 29.00% upside from the closing price of BDT 217.9 on 06 July 2021.</a:t>
          </a:r>
        </a:p>
      </xdr:txBody>
    </xdr:sp>
    <xdr:clientData/>
  </xdr:twoCellAnchor>
  <xdr:twoCellAnchor>
    <xdr:from>
      <xdr:col>4</xdr:col>
      <xdr:colOff>541621</xdr:colOff>
      <xdr:row>36</xdr:row>
      <xdr:rowOff>39859</xdr:rowOff>
    </xdr:from>
    <xdr:to>
      <xdr:col>4</xdr:col>
      <xdr:colOff>2653608</xdr:colOff>
      <xdr:row>40</xdr:row>
      <xdr:rowOff>156884</xdr:rowOff>
    </xdr:to>
    <xdr:cxnSp macro="">
      <xdr:nvCxnSpPr>
        <xdr:cNvPr id="11" name="Straight Arrow Connector 10">
          <a:extLst>
            <a:ext uri="{FF2B5EF4-FFF2-40B4-BE49-F238E27FC236}">
              <a16:creationId xmlns:a16="http://schemas.microsoft.com/office/drawing/2014/main" id="{B7A0C13A-E657-4A84-B613-A4420324515B}"/>
            </a:ext>
          </a:extLst>
        </xdr:cNvPr>
        <xdr:cNvCxnSpPr>
          <a:stCxn id="9" idx="2"/>
          <a:endCxn id="2" idx="3"/>
        </xdr:cNvCxnSpPr>
      </xdr:nvCxnSpPr>
      <xdr:spPr>
        <a:xfrm flipH="1">
          <a:off x="4329209" y="8466683"/>
          <a:ext cx="2111987" cy="8342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2323260</xdr:colOff>
      <xdr:row>45</xdr:row>
      <xdr:rowOff>0</xdr:rowOff>
    </xdr:from>
    <xdr:to>
      <xdr:col>5</xdr:col>
      <xdr:colOff>381003</xdr:colOff>
      <xdr:row>56</xdr:row>
      <xdr:rowOff>171615</xdr:rowOff>
    </xdr:to>
    <xdr:cxnSp macro="">
      <xdr:nvCxnSpPr>
        <xdr:cNvPr id="13" name="Straight Arrow Connector 12">
          <a:extLst>
            <a:ext uri="{FF2B5EF4-FFF2-40B4-BE49-F238E27FC236}">
              <a16:creationId xmlns:a16="http://schemas.microsoft.com/office/drawing/2014/main" id="{D4B46527-FFD0-4E6E-9684-1B0AD23A82B0}"/>
            </a:ext>
          </a:extLst>
        </xdr:cNvPr>
        <xdr:cNvCxnSpPr>
          <a:endCxn id="7" idx="0"/>
        </xdr:cNvCxnSpPr>
      </xdr:nvCxnSpPr>
      <xdr:spPr>
        <a:xfrm flipH="1">
          <a:off x="6110848" y="10040471"/>
          <a:ext cx="2327184" cy="214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1422400</xdr:colOff>
      <xdr:row>33</xdr:row>
      <xdr:rowOff>139700</xdr:rowOff>
    </xdr:from>
    <xdr:to>
      <xdr:col>9</xdr:col>
      <xdr:colOff>39445</xdr:colOff>
      <xdr:row>41</xdr:row>
      <xdr:rowOff>156784</xdr:rowOff>
    </xdr:to>
    <xdr:cxnSp macro="">
      <xdr:nvCxnSpPr>
        <xdr:cNvPr id="24" name="Straight Arrow Connector 23">
          <a:extLst>
            <a:ext uri="{FF2B5EF4-FFF2-40B4-BE49-F238E27FC236}">
              <a16:creationId xmlns:a16="http://schemas.microsoft.com/office/drawing/2014/main" id="{CD196449-EE48-4172-9B2C-45FB2EE5AB32}"/>
            </a:ext>
          </a:extLst>
        </xdr:cNvPr>
        <xdr:cNvCxnSpPr>
          <a:endCxn id="5" idx="1"/>
        </xdr:cNvCxnSpPr>
      </xdr:nvCxnSpPr>
      <xdr:spPr>
        <a:xfrm>
          <a:off x="18085547" y="8028641"/>
          <a:ext cx="1821927" cy="14514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50</xdr:row>
      <xdr:rowOff>127000</xdr:rowOff>
    </xdr:from>
    <xdr:to>
      <xdr:col>7</xdr:col>
      <xdr:colOff>1086971</xdr:colOff>
      <xdr:row>56</xdr:row>
      <xdr:rowOff>125368</xdr:rowOff>
    </xdr:to>
    <xdr:cxnSp macro="">
      <xdr:nvCxnSpPr>
        <xdr:cNvPr id="26" name="Straight Arrow Connector 25">
          <a:extLst>
            <a:ext uri="{FF2B5EF4-FFF2-40B4-BE49-F238E27FC236}">
              <a16:creationId xmlns:a16="http://schemas.microsoft.com/office/drawing/2014/main" id="{EA970666-C2CD-43A3-A379-857B3A89CBF6}"/>
            </a:ext>
          </a:extLst>
        </xdr:cNvPr>
        <xdr:cNvCxnSpPr>
          <a:endCxn id="6" idx="0"/>
        </xdr:cNvCxnSpPr>
      </xdr:nvCxnSpPr>
      <xdr:spPr>
        <a:xfrm>
          <a:off x="12557312" y="11063941"/>
          <a:ext cx="934571" cy="10741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406400</xdr:colOff>
      <xdr:row>45</xdr:row>
      <xdr:rowOff>139700</xdr:rowOff>
    </xdr:from>
    <xdr:to>
      <xdr:col>8</xdr:col>
      <xdr:colOff>2489200</xdr:colOff>
      <xdr:row>56</xdr:row>
      <xdr:rowOff>165100</xdr:rowOff>
    </xdr:to>
    <xdr:cxnSp macro="">
      <xdr:nvCxnSpPr>
        <xdr:cNvPr id="28" name="Straight Arrow Connector 27">
          <a:extLst>
            <a:ext uri="{FF2B5EF4-FFF2-40B4-BE49-F238E27FC236}">
              <a16:creationId xmlns:a16="http://schemas.microsoft.com/office/drawing/2014/main" id="{435B76B5-800D-45BD-B609-0B19AEBF5F9B}"/>
            </a:ext>
          </a:extLst>
        </xdr:cNvPr>
        <xdr:cNvCxnSpPr/>
      </xdr:nvCxnSpPr>
      <xdr:spPr>
        <a:xfrm>
          <a:off x="15024100" y="10109200"/>
          <a:ext cx="2082800" cy="1981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204107</xdr:colOff>
      <xdr:row>6</xdr:row>
      <xdr:rowOff>31749</xdr:rowOff>
    </xdr:from>
    <xdr:to>
      <xdr:col>4</xdr:col>
      <xdr:colOff>3469822</xdr:colOff>
      <xdr:row>16</xdr:row>
      <xdr:rowOff>95250</xdr:rowOff>
    </xdr:to>
    <xdr:sp macro="" textlink="">
      <xdr:nvSpPr>
        <xdr:cNvPr id="23" name="TextBox 22">
          <a:extLst>
            <a:ext uri="{FF2B5EF4-FFF2-40B4-BE49-F238E27FC236}">
              <a16:creationId xmlns:a16="http://schemas.microsoft.com/office/drawing/2014/main" id="{4222034A-96C3-4EF1-8E94-CA5903846BB7}"/>
            </a:ext>
          </a:extLst>
        </xdr:cNvPr>
        <xdr:cNvSpPr txBox="1"/>
      </xdr:nvSpPr>
      <xdr:spPr>
        <a:xfrm>
          <a:off x="2175782" y="1860549"/>
          <a:ext cx="5065940" cy="309245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800">
              <a:solidFill>
                <a:sysClr val="windowText" lastClr="000000"/>
              </a:solidFill>
              <a:latin typeface="+mn-lt"/>
              <a:cs typeface="Andalus" pitchFamily="18" charset="-78"/>
            </a:rPr>
            <a:t>There is a solitary</a:t>
          </a:r>
          <a:r>
            <a:rPr lang="en-US" sz="1800" baseline="0">
              <a:solidFill>
                <a:sysClr val="windowText" lastClr="000000"/>
              </a:solidFill>
              <a:latin typeface="+mn-lt"/>
              <a:cs typeface="Andalus" pitchFamily="18" charset="-78"/>
            </a:rPr>
            <a:t> scope to apply judgement in the CCF Valuation method. Whereas, in pro-forma analysis, implied growths of individual balance sheet and income statement items were calculated, and there were a myriad of opportunities to apply judgement so that the values can further diverge from the fallacy that the past is equal to the present. As the pro-forma valuation is unequivocally the higher standard of valuation, a higher weight was assigned to it.</a:t>
          </a:r>
          <a:endParaRPr lang="en-US" sz="1800">
            <a:solidFill>
              <a:sysClr val="windowText" lastClr="000000"/>
            </a:solidFill>
            <a:latin typeface="+mn-lt"/>
            <a:cs typeface="Andalus" pitchFamily="18" charset="-78"/>
          </a:endParaRPr>
        </a:p>
      </xdr:txBody>
    </xdr:sp>
    <xdr:clientData/>
  </xdr:twoCellAnchor>
  <xdr:twoCellAnchor>
    <xdr:from>
      <xdr:col>4</xdr:col>
      <xdr:colOff>3469822</xdr:colOff>
      <xdr:row>11</xdr:row>
      <xdr:rowOff>127001</xdr:rowOff>
    </xdr:from>
    <xdr:to>
      <xdr:col>5</xdr:col>
      <xdr:colOff>15875</xdr:colOff>
      <xdr:row>11</xdr:row>
      <xdr:rowOff>244475</xdr:rowOff>
    </xdr:to>
    <xdr:cxnSp macro="">
      <xdr:nvCxnSpPr>
        <xdr:cNvPr id="21" name="Straight Arrow Connector 20">
          <a:extLst>
            <a:ext uri="{FF2B5EF4-FFF2-40B4-BE49-F238E27FC236}">
              <a16:creationId xmlns:a16="http://schemas.microsoft.com/office/drawing/2014/main" id="{DCB3B1D5-3B7E-42CD-937B-9C430E519A96}"/>
            </a:ext>
          </a:extLst>
        </xdr:cNvPr>
        <xdr:cNvCxnSpPr>
          <a:stCxn id="23" idx="3"/>
        </xdr:cNvCxnSpPr>
      </xdr:nvCxnSpPr>
      <xdr:spPr>
        <a:xfrm flipV="1">
          <a:off x="7241722" y="3289301"/>
          <a:ext cx="813253" cy="1174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1428749</xdr:colOff>
      <xdr:row>110</xdr:row>
      <xdr:rowOff>86590</xdr:rowOff>
    </xdr:from>
    <xdr:to>
      <xdr:col>8</xdr:col>
      <xdr:colOff>844960</xdr:colOff>
      <xdr:row>134</xdr:row>
      <xdr:rowOff>145677</xdr:rowOff>
    </xdr:to>
    <xdr:sp macro="" textlink="">
      <xdr:nvSpPr>
        <xdr:cNvPr id="17" name="TextBox 16">
          <a:extLst>
            <a:ext uri="{FF2B5EF4-FFF2-40B4-BE49-F238E27FC236}">
              <a16:creationId xmlns:a16="http://schemas.microsoft.com/office/drawing/2014/main" id="{78DFB479-C399-40D1-AFD3-AD06CFAC5D2C}"/>
            </a:ext>
          </a:extLst>
        </xdr:cNvPr>
        <xdr:cNvSpPr txBox="1"/>
      </xdr:nvSpPr>
      <xdr:spPr>
        <a:xfrm>
          <a:off x="9485778" y="21781178"/>
          <a:ext cx="8022329" cy="4362146"/>
        </a:xfrm>
        <a:prstGeom prst="rect">
          <a:avLst/>
        </a:prstGeom>
        <a:solidFill>
          <a:schemeClr val="accent6">
            <a:lumMod val="60000"/>
            <a:lumOff val="40000"/>
          </a:schemeClr>
        </a:solidFill>
        <a:ln w="9525" cmpd="sng">
          <a:solidFill>
            <a:schemeClr val="accent6">
              <a:lumMod val="60000"/>
              <a:lumOff val="4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800" b="1"/>
            <a:t>REFERENCES</a:t>
          </a:r>
        </a:p>
        <a:p>
          <a:pPr indent="-457200" algn="l"/>
          <a:endParaRPr lang="en-US" sz="1100" b="0" i="0">
            <a:solidFill>
              <a:schemeClr val="dk1"/>
            </a:solidFill>
            <a:effectLst/>
            <a:latin typeface="+mn-lt"/>
            <a:ea typeface="+mn-ea"/>
            <a:cs typeface="+mn-cs"/>
          </a:endParaRPr>
        </a:p>
        <a:p>
          <a:pPr indent="-457200" algn="l"/>
          <a:r>
            <a:rPr lang="en-US" sz="1100" b="0" i="0">
              <a:solidFill>
                <a:schemeClr val="dk1"/>
              </a:solidFill>
              <a:effectLst/>
              <a:latin typeface="+mn-lt"/>
              <a:ea typeface="+mn-ea"/>
              <a:cs typeface="+mn-cs"/>
            </a:rPr>
            <a:t>Kibria, A. (2021). Bangladesh's case for TRIPS waiver. Retrieved 11 July 2021, from 	https://www.thefinancialexpress.com.bd/views/bangladeshs-case-for-trips-waiver-1603899932</a:t>
          </a:r>
        </a:p>
        <a:p>
          <a:pPr indent="-457200" algn="l"/>
          <a:endParaRPr lang="en-US" sz="1100" b="0" i="0">
            <a:solidFill>
              <a:schemeClr val="dk1"/>
            </a:solidFill>
            <a:effectLst/>
            <a:latin typeface="+mn-lt"/>
            <a:ea typeface="+mn-ea"/>
            <a:cs typeface="+mn-cs"/>
          </a:endParaRPr>
        </a:p>
        <a:p>
          <a:pPr indent="-457200" algn="l"/>
          <a:r>
            <a:rPr lang="en-US" sz="1100" b="0" i="0">
              <a:solidFill>
                <a:schemeClr val="dk1"/>
              </a:solidFill>
              <a:effectLst/>
              <a:latin typeface="+mn-lt"/>
              <a:ea typeface="+mn-ea"/>
              <a:cs typeface="+mn-cs"/>
            </a:rPr>
            <a:t>Lankabangla Financial Portal- Live stock data of Dhaka Stock Exchange (DSE), financial statements, research, chart and level 2 data. (2021). 	Retrieved 11 July 2021, from 	https://lankabd.com/Company/Search?searchText=SQURPHARMA&amp;cn=Square_Pharmaceuticals_Limited_(SQURPHARM	A)</a:t>
          </a:r>
        </a:p>
        <a:p>
          <a:pPr indent="-457200" algn="l"/>
          <a:endParaRPr lang="en-US" sz="1100" b="0" i="0">
            <a:solidFill>
              <a:schemeClr val="dk1"/>
            </a:solidFill>
            <a:effectLst/>
            <a:latin typeface="+mn-lt"/>
            <a:ea typeface="+mn-ea"/>
            <a:cs typeface="+mn-cs"/>
          </a:endParaRPr>
        </a:p>
        <a:p>
          <a:pPr marL="0" marR="0" lvl="0" indent="-457200" algn="l"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Report, T. (2021). Square Pharma continues business growth in pandemic. Retrieved 11 July 2021, from Square Pharma continues 	business growth in pandemic. (2021). Retrieved 11 July 2021, from 	https://www.tbsnews.net/companies/pharma/square-pharma-continues-business-growth-pandemic-242584</a:t>
          </a:r>
        </a:p>
        <a:p>
          <a:pPr indent="-457200" algn="l"/>
          <a:endParaRPr lang="en-US" sz="1100" b="0" i="0">
            <a:solidFill>
              <a:schemeClr val="dk1"/>
            </a:solidFill>
            <a:effectLst/>
            <a:latin typeface="+mn-lt"/>
            <a:ea typeface="+mn-ea"/>
            <a:cs typeface="+mn-cs"/>
          </a:endParaRPr>
        </a:p>
        <a:p>
          <a:pPr indent="-457200" algn="l"/>
          <a:r>
            <a:rPr lang="en-US" sz="1100" b="0" i="0">
              <a:solidFill>
                <a:schemeClr val="dk1"/>
              </a:solidFill>
              <a:effectLst/>
              <a:latin typeface="+mn-lt"/>
              <a:ea typeface="+mn-ea"/>
              <a:cs typeface="+mn-cs"/>
            </a:rPr>
            <a:t>Share Market Analysis Portal For Dhaka Stock Exchange-Bangladesh. (2021). Retrieved 11 July 2021, from 	https://stockbangladesh.com/dse/stock/squrpharma/square-pharmaceuticals-limited/fundamental/details</a:t>
          </a:r>
        </a:p>
        <a:p>
          <a:pPr indent="-457200" algn="l"/>
          <a:endParaRPr lang="en-US" sz="1100" b="0" i="0">
            <a:solidFill>
              <a:schemeClr val="dk1"/>
            </a:solidFill>
            <a:effectLst/>
            <a:latin typeface="+mn-lt"/>
            <a:ea typeface="+mn-ea"/>
            <a:cs typeface="+mn-cs"/>
          </a:endParaRPr>
        </a:p>
        <a:p>
          <a:pPr indent="-457200" algn="l"/>
          <a:endParaRPr lang="en-US" sz="1400"/>
        </a:p>
        <a:p>
          <a:pPr indent="-457200" algn="l"/>
          <a:r>
            <a:rPr lang="en-US" sz="1100" b="0" i="0">
              <a:solidFill>
                <a:schemeClr val="dk1"/>
              </a:solidFill>
              <a:effectLst/>
              <a:latin typeface="+mn-lt"/>
              <a:ea typeface="+mn-ea"/>
              <a:cs typeface="+mn-cs"/>
            </a:rPr>
            <a:t>Square Pharmaceuticals Ltd. (Competitive Advantage). (2021). Retrieved 11 July 2021, from 	http://squarepharma1.blogspot.com/2014/11/normal-0-false-false-false-en-us-x-none.html</a:t>
          </a:r>
        </a:p>
        <a:p>
          <a:pPr indent="-457200" algn="l"/>
          <a:endParaRPr lang="en-US" sz="1100" b="0" i="0">
            <a:solidFill>
              <a:schemeClr val="dk1"/>
            </a:solidFill>
            <a:effectLst/>
            <a:latin typeface="+mn-lt"/>
            <a:ea typeface="+mn-ea"/>
            <a:cs typeface="+mn-cs"/>
          </a:endParaRPr>
        </a:p>
        <a:p>
          <a:pPr indent="-457200" algn="l"/>
          <a:r>
            <a:rPr lang="en-US" sz="1100" b="0" i="0">
              <a:solidFill>
                <a:schemeClr val="dk1"/>
              </a:solidFill>
              <a:effectLst/>
              <a:latin typeface="+mn-lt"/>
              <a:ea typeface="+mn-ea"/>
              <a:cs typeface="+mn-cs"/>
            </a:rPr>
            <a:t>Tuhin, A. (2021). Square Pharma to invest Tk350cr to expand business. Retrieved 11 July 2021, from 	https://www.tbsnews.net/companies/pharma/square-pharma-invest-tk350cr-expand-business-45883</a:t>
          </a:r>
          <a:endParaRPr lang="en-US" sz="14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tock_analysis_template_-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recard"/>
      <sheetName val="Scorecard Data"/>
      <sheetName val="Financials"/>
      <sheetName val="Ratios and Metrics"/>
      <sheetName val="Charts"/>
      <sheetName val="Intrinsic Value"/>
      <sheetName val="Income Statement"/>
      <sheetName val="Balance Sheet"/>
      <sheetName val="Cash Flow Statement"/>
      <sheetName val="Help"/>
    </sheetNames>
    <sheetDataSet>
      <sheetData sheetId="0"/>
      <sheetData sheetId="1">
        <row r="3">
          <cell r="B3" t="str">
            <v>Gross Margin: Most Recent Year</v>
          </cell>
        </row>
        <row r="4">
          <cell r="B4" t="str">
            <v>Gross Margin: 3 Year Avg</v>
          </cell>
        </row>
        <row r="5">
          <cell r="B5" t="str">
            <v>Gross Margin: 5 Year Avg</v>
          </cell>
        </row>
        <row r="6">
          <cell r="B6" t="str">
            <v>Operating Margin: Most Recent Year</v>
          </cell>
        </row>
        <row r="7">
          <cell r="B7" t="str">
            <v>Operating Margin: 3 Year Avg</v>
          </cell>
        </row>
        <row r="8">
          <cell r="B8" t="str">
            <v>Operating Margin: 5 Year Avg</v>
          </cell>
        </row>
        <row r="9">
          <cell r="B9" t="str">
            <v>EBT Margin: Current Year</v>
          </cell>
        </row>
        <row r="10">
          <cell r="B10" t="str">
            <v>EBT Margin: 3 Year Avg</v>
          </cell>
        </row>
        <row r="11">
          <cell r="B11" t="str">
            <v>EBT Margin: 5 Year Avg</v>
          </cell>
        </row>
        <row r="12">
          <cell r="B12" t="str">
            <v>Avg Gross Margin Growth: Past 3 Years</v>
          </cell>
        </row>
        <row r="13">
          <cell r="B13" t="str">
            <v>Avg Operating Margin Growth: Past 3 Years</v>
          </cell>
        </row>
        <row r="14">
          <cell r="B14" t="str">
            <v>Avg EBT Margin Growth: Past 3 Years</v>
          </cell>
        </row>
        <row r="15">
          <cell r="B15" t="str">
            <v>Return on Assets (ROA): Most Recent Year</v>
          </cell>
        </row>
        <row r="16">
          <cell r="B16" t="str">
            <v>Return on Assets (ROA): 3 Year Avg</v>
          </cell>
        </row>
        <row r="17">
          <cell r="B17" t="str">
            <v>Return on Assets (ROA): 5 Year Avg</v>
          </cell>
        </row>
        <row r="18">
          <cell r="B18" t="str">
            <v>Return on Equity (ROE): Most Recent Year</v>
          </cell>
        </row>
        <row r="19">
          <cell r="B19" t="str">
            <v>Return on Equity (ROE): 3 Year Avg</v>
          </cell>
        </row>
        <row r="20">
          <cell r="B20" t="str">
            <v>Return on Equity (ROE): 5 Year Avg</v>
          </cell>
        </row>
        <row r="21">
          <cell r="B21" t="str">
            <v>Return on Invested Capital (ROIC): Most Recent Year</v>
          </cell>
        </row>
        <row r="22">
          <cell r="B22" t="str">
            <v>Return on Invested Capital (ROIC): 3 Year Avg</v>
          </cell>
        </row>
        <row r="23">
          <cell r="B23" t="str">
            <v>Return on Invested Capital (ROIC): 5 Year Avg</v>
          </cell>
        </row>
        <row r="24">
          <cell r="B24" t="str">
            <v>Avg ROA Growth: Past 3 Years</v>
          </cell>
        </row>
        <row r="25">
          <cell r="B25" t="str">
            <v>Avg ROE Growth: Past 3 Years</v>
          </cell>
        </row>
        <row r="26">
          <cell r="B26" t="str">
            <v>Avg ROIC Growth: Past 3 Years</v>
          </cell>
        </row>
        <row r="27">
          <cell r="B27" t="str">
            <v>Net Income Growth: Most Recent Year</v>
          </cell>
        </row>
        <row r="28">
          <cell r="B28" t="str">
            <v>Net Income Growth: 4 Year Avg</v>
          </cell>
        </row>
        <row r="29">
          <cell r="B29" t="str">
            <v>Operating Income Growth: Most Recent Year</v>
          </cell>
        </row>
        <row r="30">
          <cell r="B30" t="str">
            <v>Operating Income Growth: 4 Year Avg</v>
          </cell>
        </row>
        <row r="31">
          <cell r="B31" t="str">
            <v>Revenue Growth: Most Recent Year</v>
          </cell>
        </row>
        <row r="32">
          <cell r="B32" t="str">
            <v>Revenue Growth: 4 Year Avg</v>
          </cell>
        </row>
        <row r="33">
          <cell r="B33" t="str">
            <v>EPS Growth: Most Recent Year</v>
          </cell>
        </row>
        <row r="34">
          <cell r="B34" t="str">
            <v>EPS Growth: 4 Year Avg</v>
          </cell>
        </row>
        <row r="35">
          <cell r="B35" t="str">
            <v>Dividend Growth: Most Recent Year</v>
          </cell>
        </row>
        <row r="36">
          <cell r="B36" t="str">
            <v>Dividend Growth: 4 Year Avg</v>
          </cell>
        </row>
        <row r="37">
          <cell r="B37" t="str">
            <v>Dividend Payout Growth: Most Recent Year</v>
          </cell>
        </row>
        <row r="38">
          <cell r="B38" t="str">
            <v>Dividend Payout Growth: 4 Year Avg</v>
          </cell>
        </row>
        <row r="39">
          <cell r="B39" t="str">
            <v>Operating Cash Flow Growth: Most Recent Year</v>
          </cell>
        </row>
        <row r="40">
          <cell r="B40" t="str">
            <v>Operating Cash Flow Growth: 4 Year Avg</v>
          </cell>
        </row>
        <row r="41">
          <cell r="B41" t="str">
            <v>Free Cash Flow Growth: Most Recent Year</v>
          </cell>
        </row>
        <row r="42">
          <cell r="B42" t="str">
            <v>Free Cash Flow Growth: 4 Year Avg</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6B9F25"/>
      </a:folHlink>
    </a:clrScheme>
    <a:fontScheme name="Sheets">
      <a:majorFont>
        <a:latin typeface="Twentieth Century"/>
        <a:ea typeface="Twentieth Century"/>
        <a:cs typeface="Twentieth Century"/>
      </a:majorFont>
      <a:minorFont>
        <a:latin typeface="Twentieth Century"/>
        <a:ea typeface="Twentieth Century"/>
        <a:cs typeface="Twentieth Century"/>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1"/>
  <sheetViews>
    <sheetView showGridLines="0" zoomScale="68" zoomScaleNormal="68" workbookViewId="0">
      <selection activeCell="E30" sqref="E30"/>
    </sheetView>
  </sheetViews>
  <sheetFormatPr defaultColWidth="9" defaultRowHeight="14.25"/>
  <cols>
    <col min="1" max="1" width="7.75" style="119" customWidth="1"/>
    <col min="2" max="2" width="9" style="119"/>
    <col min="3" max="3" width="30.25" style="119" customWidth="1"/>
    <col min="4" max="4" width="36.25" style="119" customWidth="1"/>
    <col min="5" max="5" width="39.75" style="119" customWidth="1"/>
    <col min="6" max="6" width="30.75" style="119" customWidth="1"/>
    <col min="7" max="8" width="8.75" style="119" customWidth="1"/>
    <col min="9" max="11" width="9" style="119"/>
    <col min="12" max="12" width="10.75" style="119" customWidth="1"/>
    <col min="13" max="14" width="9" style="119"/>
    <col min="15" max="17" width="9" style="119" customWidth="1"/>
    <col min="18" max="16384" width="9" style="119"/>
  </cols>
  <sheetData>
    <row r="2" spans="1:12" ht="15" thickBot="1"/>
    <row r="3" spans="1:12">
      <c r="B3" s="129"/>
      <c r="C3" s="128"/>
      <c r="D3" s="128"/>
      <c r="E3" s="128"/>
      <c r="F3" s="128"/>
      <c r="G3" s="128"/>
      <c r="H3" s="128"/>
      <c r="I3" s="128"/>
      <c r="J3" s="128"/>
      <c r="K3" s="128"/>
      <c r="L3" s="127"/>
    </row>
    <row r="4" spans="1:12">
      <c r="B4" s="125"/>
      <c r="C4" s="124"/>
      <c r="D4" s="124"/>
      <c r="E4" s="124"/>
      <c r="F4" s="124"/>
      <c r="G4" s="124"/>
      <c r="H4" s="124"/>
      <c r="I4" s="124"/>
      <c r="J4" s="124"/>
      <c r="K4" s="124"/>
      <c r="L4" s="123"/>
    </row>
    <row r="5" spans="1:12">
      <c r="A5" s="126"/>
      <c r="B5" s="125"/>
      <c r="C5" s="124"/>
      <c r="D5" s="124"/>
      <c r="E5" s="124"/>
      <c r="F5" s="124"/>
      <c r="G5" s="124"/>
      <c r="H5" s="124"/>
      <c r="I5" s="124"/>
      <c r="J5" s="124"/>
      <c r="K5" s="124"/>
      <c r="L5" s="123"/>
    </row>
    <row r="6" spans="1:12">
      <c r="B6" s="125"/>
      <c r="C6" s="124"/>
      <c r="D6" s="124"/>
      <c r="E6" s="124"/>
      <c r="F6" s="124"/>
      <c r="G6" s="124"/>
      <c r="H6" s="124"/>
      <c r="I6" s="124"/>
      <c r="J6" s="124"/>
      <c r="K6" s="124"/>
      <c r="L6" s="123"/>
    </row>
    <row r="7" spans="1:12">
      <c r="B7" s="125"/>
      <c r="C7" s="124"/>
      <c r="D7" s="124"/>
      <c r="E7" s="124"/>
      <c r="F7" s="124"/>
      <c r="G7" s="124"/>
      <c r="H7" s="124"/>
      <c r="I7" s="124"/>
      <c r="J7" s="124"/>
      <c r="K7" s="124"/>
      <c r="L7" s="123"/>
    </row>
    <row r="8" spans="1:12">
      <c r="B8" s="125"/>
      <c r="C8" s="124"/>
      <c r="D8" s="124"/>
      <c r="E8" s="124"/>
      <c r="F8" s="124"/>
      <c r="G8" s="124"/>
      <c r="H8" s="124"/>
      <c r="I8" s="124"/>
      <c r="J8" s="124"/>
      <c r="K8" s="124"/>
      <c r="L8" s="123"/>
    </row>
    <row r="9" spans="1:12">
      <c r="B9" s="125"/>
      <c r="C9" s="124"/>
      <c r="D9" s="124"/>
      <c r="E9" s="124"/>
      <c r="F9" s="124"/>
      <c r="G9" s="124"/>
      <c r="H9" s="124"/>
      <c r="I9" s="124"/>
      <c r="J9" s="124"/>
      <c r="K9" s="124"/>
      <c r="L9" s="123"/>
    </row>
    <row r="10" spans="1:12">
      <c r="B10" s="125"/>
      <c r="C10" s="124"/>
      <c r="D10" s="124"/>
      <c r="E10" s="124"/>
      <c r="F10" s="124"/>
      <c r="G10" s="124"/>
      <c r="H10" s="124"/>
      <c r="I10" s="124"/>
      <c r="J10" s="124"/>
      <c r="K10" s="124"/>
      <c r="L10" s="123"/>
    </row>
    <row r="11" spans="1:12" ht="18">
      <c r="B11" s="125"/>
      <c r="C11" s="124"/>
      <c r="D11" s="124"/>
      <c r="E11" s="563" t="s">
        <v>220</v>
      </c>
      <c r="F11" s="124"/>
      <c r="G11" s="124"/>
      <c r="H11" s="124"/>
      <c r="I11" s="124"/>
      <c r="J11" s="124"/>
      <c r="K11" s="124"/>
      <c r="L11" s="123"/>
    </row>
    <row r="12" spans="1:12">
      <c r="B12" s="125"/>
      <c r="C12" s="124"/>
      <c r="D12" s="124"/>
      <c r="E12" s="124"/>
      <c r="F12" s="124"/>
      <c r="G12" s="124"/>
      <c r="H12" s="124"/>
      <c r="I12" s="124"/>
      <c r="J12" s="124"/>
      <c r="K12" s="124"/>
      <c r="L12" s="123"/>
    </row>
    <row r="13" spans="1:12" ht="17.649999999999999" customHeight="1">
      <c r="B13" s="125"/>
      <c r="C13" s="124"/>
      <c r="D13" s="124"/>
      <c r="E13" s="124"/>
      <c r="F13" s="124"/>
      <c r="G13" s="124"/>
      <c r="H13" s="124"/>
      <c r="I13" s="124"/>
      <c r="J13" s="124"/>
      <c r="K13" s="124"/>
      <c r="L13" s="123"/>
    </row>
    <row r="14" spans="1:12" ht="17.649999999999999" customHeight="1">
      <c r="B14" s="125"/>
      <c r="C14" s="124"/>
      <c r="D14" s="124"/>
      <c r="E14" s="124"/>
      <c r="F14" s="124"/>
      <c r="G14" s="124"/>
      <c r="H14" s="124"/>
      <c r="I14" s="124"/>
      <c r="J14" s="124"/>
      <c r="K14" s="124"/>
      <c r="L14" s="123"/>
    </row>
    <row r="15" spans="1:12" ht="17.649999999999999" customHeight="1">
      <c r="B15" s="125"/>
      <c r="C15" s="124"/>
      <c r="D15" s="124"/>
      <c r="E15" s="124"/>
      <c r="F15" s="124"/>
      <c r="G15" s="124"/>
      <c r="H15" s="124"/>
      <c r="I15" s="124"/>
      <c r="J15" s="124"/>
      <c r="K15" s="124"/>
      <c r="L15" s="123"/>
    </row>
    <row r="16" spans="1:12" ht="21.6" customHeight="1">
      <c r="B16" s="125"/>
      <c r="C16" s="124"/>
      <c r="D16" s="124"/>
      <c r="E16" s="124"/>
      <c r="F16" s="124"/>
      <c r="G16" s="124"/>
      <c r="H16" s="124"/>
      <c r="I16" s="124"/>
      <c r="J16" s="124"/>
      <c r="K16" s="124"/>
      <c r="L16" s="123"/>
    </row>
    <row r="17" spans="2:12" ht="21.6" customHeight="1">
      <c r="B17" s="125"/>
      <c r="C17" s="124"/>
      <c r="D17" s="124"/>
      <c r="E17" s="124"/>
      <c r="F17" s="124"/>
      <c r="G17" s="124"/>
      <c r="H17" s="124"/>
      <c r="I17" s="124"/>
      <c r="J17" s="124"/>
      <c r="K17" s="124"/>
      <c r="L17" s="123"/>
    </row>
    <row r="18" spans="2:12" ht="21.6" customHeight="1">
      <c r="B18" s="125"/>
      <c r="C18" s="124"/>
      <c r="D18" s="124"/>
      <c r="E18" s="124"/>
      <c r="F18" s="124"/>
      <c r="G18" s="124"/>
      <c r="H18" s="124"/>
      <c r="I18" s="124"/>
      <c r="J18" s="124"/>
      <c r="K18" s="124"/>
      <c r="L18" s="123"/>
    </row>
    <row r="19" spans="2:12" ht="21.6" customHeight="1">
      <c r="B19" s="125"/>
      <c r="C19" s="124"/>
      <c r="D19" s="124"/>
      <c r="E19" s="124"/>
      <c r="F19" s="124"/>
      <c r="G19" s="124"/>
      <c r="H19" s="124"/>
      <c r="I19" s="124"/>
      <c r="J19" s="124"/>
      <c r="K19" s="124"/>
      <c r="L19" s="123"/>
    </row>
    <row r="20" spans="2:12" ht="21.6" customHeight="1">
      <c r="B20" s="125"/>
      <c r="C20" s="124"/>
      <c r="D20" s="124"/>
      <c r="E20" s="124"/>
      <c r="F20" s="124"/>
      <c r="G20" s="124"/>
      <c r="H20" s="124"/>
      <c r="I20" s="124"/>
      <c r="J20" s="124"/>
      <c r="K20" s="124"/>
      <c r="L20" s="123"/>
    </row>
    <row r="21" spans="2:12" ht="21.6" customHeight="1">
      <c r="B21" s="125"/>
      <c r="C21" s="124"/>
      <c r="D21" s="124"/>
      <c r="E21" s="124"/>
      <c r="F21" s="124"/>
      <c r="G21" s="124"/>
      <c r="H21" s="124"/>
      <c r="I21" s="124"/>
      <c r="J21" s="124"/>
      <c r="K21" s="124"/>
      <c r="L21" s="123"/>
    </row>
    <row r="22" spans="2:12" ht="21.6" customHeight="1">
      <c r="B22" s="125"/>
      <c r="C22" s="124"/>
      <c r="D22" s="124"/>
      <c r="E22" s="124"/>
      <c r="F22" s="124"/>
      <c r="G22" s="124"/>
      <c r="H22" s="124"/>
      <c r="I22" s="124"/>
      <c r="J22" s="124"/>
      <c r="K22" s="124"/>
      <c r="L22" s="123"/>
    </row>
    <row r="23" spans="2:12">
      <c r="B23" s="125"/>
      <c r="C23" s="124"/>
      <c r="D23" s="124"/>
      <c r="E23" s="124"/>
      <c r="F23" s="124"/>
      <c r="G23" s="124"/>
      <c r="H23" s="124"/>
      <c r="I23" s="124"/>
      <c r="J23" s="124"/>
      <c r="K23" s="124"/>
      <c r="L23" s="123"/>
    </row>
    <row r="24" spans="2:12">
      <c r="B24" s="125"/>
      <c r="C24" s="124"/>
      <c r="D24" s="124"/>
      <c r="E24" s="124"/>
      <c r="F24" s="124"/>
      <c r="G24" s="124"/>
      <c r="H24" s="124"/>
      <c r="I24" s="124"/>
      <c r="J24" s="124"/>
      <c r="K24" s="124"/>
      <c r="L24" s="123"/>
    </row>
    <row r="25" spans="2:12" ht="15" thickBot="1">
      <c r="B25" s="122"/>
      <c r="C25" s="121"/>
      <c r="D25" s="121"/>
      <c r="E25" s="121"/>
      <c r="F25" s="121"/>
      <c r="G25" s="121"/>
      <c r="H25" s="121"/>
      <c r="I25" s="121"/>
      <c r="J25" s="121"/>
      <c r="K25" s="121"/>
      <c r="L25" s="120"/>
    </row>
    <row r="28" spans="2:12" ht="15" thickBot="1"/>
    <row r="29" spans="2:12" ht="36">
      <c r="D29" s="192" t="s">
        <v>330</v>
      </c>
      <c r="E29" s="193" t="s">
        <v>248</v>
      </c>
      <c r="F29" s="194" t="s">
        <v>247</v>
      </c>
    </row>
    <row r="30" spans="2:12" ht="38.25">
      <c r="D30" s="195" t="s">
        <v>334</v>
      </c>
      <c r="E30" s="196" t="s">
        <v>333</v>
      </c>
      <c r="F30" s="197" t="s">
        <v>331</v>
      </c>
    </row>
    <row r="31" spans="2:12" ht="18.75" thickBot="1">
      <c r="D31" s="198"/>
      <c r="E31" s="199" t="s">
        <v>332</v>
      </c>
      <c r="F31" s="200"/>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1C5D7"/>
  </sheetPr>
  <dimension ref="A1:Z998"/>
  <sheetViews>
    <sheetView showGridLines="0" topLeftCell="A13" zoomScale="90" zoomScaleNormal="90" workbookViewId="0">
      <selection activeCell="H24" sqref="H24"/>
    </sheetView>
  </sheetViews>
  <sheetFormatPr defaultColWidth="12.625" defaultRowHeight="15" customHeight="1"/>
  <cols>
    <col min="1" max="1" width="48.75" style="233" bestFit="1" customWidth="1"/>
    <col min="2" max="5" width="21" style="233" bestFit="1" customWidth="1"/>
    <col min="6" max="6" width="18.375" style="233" bestFit="1" customWidth="1"/>
    <col min="7" max="26" width="8.625" style="233" customWidth="1"/>
    <col min="27" max="16384" width="12.625" style="233"/>
  </cols>
  <sheetData>
    <row r="1" spans="1:26" ht="24" thickBot="1">
      <c r="A1" s="564" t="s">
        <v>250</v>
      </c>
      <c r="B1" s="565"/>
      <c r="C1" s="565"/>
      <c r="D1" s="565"/>
      <c r="E1" s="565"/>
      <c r="F1" s="566"/>
    </row>
    <row r="2" spans="1:26" ht="21" thickBot="1">
      <c r="A2" s="567" t="s">
        <v>0</v>
      </c>
      <c r="B2" s="565"/>
      <c r="C2" s="565"/>
      <c r="D2" s="565"/>
      <c r="E2" s="565"/>
      <c r="F2" s="566"/>
    </row>
    <row r="3" spans="1:26" ht="15.75" thickBot="1">
      <c r="A3" s="234"/>
      <c r="B3" s="46" t="s">
        <v>1</v>
      </c>
      <c r="C3" s="47" t="s">
        <v>2</v>
      </c>
      <c r="D3" s="46" t="s">
        <v>3</v>
      </c>
      <c r="E3" s="47" t="s">
        <v>4</v>
      </c>
      <c r="F3" s="48" t="s">
        <v>5</v>
      </c>
    </row>
    <row r="4" spans="1:26" ht="20.25">
      <c r="A4" s="235" t="s">
        <v>6</v>
      </c>
      <c r="B4" s="746"/>
      <c r="C4" s="747"/>
      <c r="D4" s="746"/>
      <c r="E4" s="747"/>
      <c r="F4" s="748"/>
    </row>
    <row r="5" spans="1:26">
      <c r="A5" s="236" t="s">
        <v>7</v>
      </c>
      <c r="B5" s="460"/>
      <c r="C5" s="749"/>
      <c r="D5" s="460"/>
      <c r="E5" s="749"/>
      <c r="F5" s="750"/>
    </row>
    <row r="6" spans="1:26">
      <c r="A6" s="236" t="s">
        <v>259</v>
      </c>
      <c r="B6" s="751">
        <v>18848282139</v>
      </c>
      <c r="C6" s="752">
        <v>19323568164</v>
      </c>
      <c r="D6" s="751">
        <v>20545437633</v>
      </c>
      <c r="E6" s="752">
        <v>20853956270</v>
      </c>
      <c r="F6" s="753">
        <v>20873698301</v>
      </c>
    </row>
    <row r="7" spans="1:26">
      <c r="A7" s="236" t="s">
        <v>265</v>
      </c>
      <c r="B7" s="751">
        <v>555873893</v>
      </c>
      <c r="C7" s="752">
        <v>588808565</v>
      </c>
      <c r="D7" s="751">
        <v>940754391</v>
      </c>
      <c r="E7" s="752">
        <v>655408674</v>
      </c>
      <c r="F7" s="753">
        <v>2792000884</v>
      </c>
    </row>
    <row r="8" spans="1:26">
      <c r="A8" s="237" t="s">
        <v>264</v>
      </c>
      <c r="B8" s="751">
        <v>6764511325</v>
      </c>
      <c r="C8" s="754">
        <v>7504636420</v>
      </c>
      <c r="D8" s="751">
        <v>8454064733</v>
      </c>
      <c r="E8" s="754">
        <v>9211605860</v>
      </c>
      <c r="F8" s="755">
        <v>8077472192</v>
      </c>
    </row>
    <row r="9" spans="1:26">
      <c r="A9" s="236" t="s">
        <v>263</v>
      </c>
      <c r="B9" s="751">
        <v>1071735442</v>
      </c>
      <c r="C9" s="752">
        <v>1938209078</v>
      </c>
      <c r="D9" s="751">
        <v>2891208537</v>
      </c>
      <c r="E9" s="752">
        <v>3013439734</v>
      </c>
      <c r="F9" s="753">
        <v>2691892867</v>
      </c>
    </row>
    <row r="10" spans="1:26">
      <c r="A10" s="237" t="s">
        <v>262</v>
      </c>
      <c r="B10" s="751"/>
      <c r="C10" s="754"/>
      <c r="D10" s="751"/>
      <c r="E10" s="754"/>
      <c r="F10" s="756">
        <v>774363</v>
      </c>
    </row>
    <row r="11" spans="1:26" ht="15.75">
      <c r="A11" s="238" t="s">
        <v>10</v>
      </c>
      <c r="B11" s="757">
        <f>SUM(B6:B9)</f>
        <v>27240402799</v>
      </c>
      <c r="C11" s="757">
        <f>SUM(C6:C9)</f>
        <v>29355222227</v>
      </c>
      <c r="D11" s="757">
        <f t="shared" ref="D11:E11" si="0">SUM(D6:D9)</f>
        <v>32831465294</v>
      </c>
      <c r="E11" s="757">
        <f t="shared" si="0"/>
        <v>33734410538</v>
      </c>
      <c r="F11" s="758">
        <f>SUM(F6:F10)</f>
        <v>34435838607</v>
      </c>
    </row>
    <row r="12" spans="1:26">
      <c r="A12" s="239"/>
      <c r="B12" s="759"/>
      <c r="C12" s="759"/>
      <c r="D12" s="759"/>
      <c r="E12" s="759"/>
      <c r="F12" s="760"/>
    </row>
    <row r="13" spans="1:26">
      <c r="A13" s="236" t="s">
        <v>11</v>
      </c>
      <c r="B13" s="751"/>
      <c r="C13" s="752"/>
      <c r="D13" s="751"/>
      <c r="E13" s="752"/>
      <c r="F13" s="753"/>
      <c r="G13" s="240"/>
      <c r="H13" s="240"/>
      <c r="I13" s="240"/>
      <c r="J13" s="240"/>
      <c r="K13" s="240"/>
      <c r="L13" s="240"/>
      <c r="M13" s="240"/>
      <c r="N13" s="240"/>
      <c r="O13" s="240"/>
      <c r="P13" s="240"/>
      <c r="Q13" s="240"/>
      <c r="R13" s="240"/>
      <c r="S13" s="240"/>
      <c r="T13" s="240"/>
      <c r="U13" s="240"/>
      <c r="V13" s="240"/>
      <c r="W13" s="240"/>
      <c r="X13" s="240"/>
      <c r="Y13" s="240"/>
      <c r="Z13" s="240"/>
    </row>
    <row r="14" spans="1:26">
      <c r="A14" s="236" t="s">
        <v>12</v>
      </c>
      <c r="B14" s="751">
        <v>3694711088</v>
      </c>
      <c r="C14" s="752">
        <v>3730808243</v>
      </c>
      <c r="D14" s="751">
        <v>4432935118</v>
      </c>
      <c r="E14" s="752">
        <v>4596512673</v>
      </c>
      <c r="F14" s="753">
        <v>5687406329</v>
      </c>
    </row>
    <row r="15" spans="1:26">
      <c r="A15" s="236" t="s">
        <v>13</v>
      </c>
      <c r="B15" s="751">
        <v>1335829914</v>
      </c>
      <c r="C15" s="752">
        <v>2204014900</v>
      </c>
      <c r="D15" s="751">
        <v>1615544248</v>
      </c>
      <c r="E15" s="752">
        <v>1561818167</v>
      </c>
      <c r="F15" s="753">
        <v>1520300337</v>
      </c>
    </row>
    <row r="16" spans="1:26">
      <c r="A16" s="236" t="s">
        <v>14</v>
      </c>
      <c r="B16" s="751">
        <v>1131340560</v>
      </c>
      <c r="C16" s="752">
        <v>1450936735</v>
      </c>
      <c r="D16" s="751">
        <v>2280668747</v>
      </c>
      <c r="E16" s="752">
        <v>2312201184</v>
      </c>
      <c r="F16" s="753">
        <v>2727928252</v>
      </c>
    </row>
    <row r="17" spans="1:26">
      <c r="A17" s="236" t="s">
        <v>251</v>
      </c>
      <c r="B17" s="751">
        <v>2378929958</v>
      </c>
      <c r="C17" s="752">
        <v>21386290</v>
      </c>
      <c r="D17" s="751">
        <v>3131975363</v>
      </c>
      <c r="E17" s="752">
        <v>2937071066</v>
      </c>
      <c r="F17" s="753">
        <v>4884338757</v>
      </c>
      <c r="M17" s="258"/>
    </row>
    <row r="18" spans="1:26">
      <c r="A18" s="236" t="s">
        <v>15</v>
      </c>
      <c r="B18" s="751">
        <v>8522555131</v>
      </c>
      <c r="C18" s="752">
        <v>15768683854</v>
      </c>
      <c r="D18" s="751">
        <v>16980412765</v>
      </c>
      <c r="E18" s="752">
        <v>27004038946</v>
      </c>
      <c r="F18" s="753">
        <v>32564329438</v>
      </c>
    </row>
    <row r="19" spans="1:26" ht="15.75">
      <c r="A19" s="238" t="s">
        <v>16</v>
      </c>
      <c r="B19" s="757">
        <f>SUM(B14:B18)</f>
        <v>17063366651</v>
      </c>
      <c r="C19" s="757">
        <f t="shared" ref="C19:F19" si="1">SUM(C14:C18)</f>
        <v>23175830022</v>
      </c>
      <c r="D19" s="757">
        <f t="shared" si="1"/>
        <v>28441536241</v>
      </c>
      <c r="E19" s="757">
        <f t="shared" si="1"/>
        <v>38411642036</v>
      </c>
      <c r="F19" s="758">
        <f t="shared" si="1"/>
        <v>47384303113</v>
      </c>
    </row>
    <row r="20" spans="1:26">
      <c r="A20" s="241"/>
      <c r="B20" s="751"/>
      <c r="C20" s="752"/>
      <c r="D20" s="751"/>
      <c r="E20" s="752"/>
      <c r="F20" s="753"/>
    </row>
    <row r="21" spans="1:26" ht="18">
      <c r="A21" s="242" t="s">
        <v>17</v>
      </c>
      <c r="B21" s="761">
        <f>B11+B19</f>
        <v>44303769450</v>
      </c>
      <c r="C21" s="761">
        <f t="shared" ref="C21:F21" si="2">C11+C19</f>
        <v>52531052249</v>
      </c>
      <c r="D21" s="761">
        <f t="shared" si="2"/>
        <v>61273001535</v>
      </c>
      <c r="E21" s="761">
        <f t="shared" si="2"/>
        <v>72146052574</v>
      </c>
      <c r="F21" s="761">
        <f t="shared" si="2"/>
        <v>81820141720</v>
      </c>
      <c r="G21" s="240"/>
      <c r="H21" s="240"/>
      <c r="I21" s="240"/>
      <c r="J21" s="240"/>
      <c r="K21" s="240"/>
      <c r="L21" s="240"/>
      <c r="M21" s="240"/>
      <c r="N21" s="240"/>
      <c r="O21" s="240"/>
      <c r="P21" s="240"/>
      <c r="Q21" s="240"/>
      <c r="R21" s="240"/>
      <c r="S21" s="240"/>
      <c r="T21" s="240"/>
      <c r="U21" s="240"/>
      <c r="V21" s="240"/>
      <c r="W21" s="240"/>
      <c r="X21" s="240"/>
      <c r="Y21" s="240"/>
      <c r="Z21" s="240"/>
    </row>
    <row r="22" spans="1:26">
      <c r="A22" s="243"/>
      <c r="B22" s="759"/>
      <c r="C22" s="759"/>
      <c r="D22" s="759"/>
      <c r="E22" s="759"/>
      <c r="F22" s="760"/>
      <c r="K22" s="257"/>
      <c r="L22" s="257"/>
      <c r="M22" s="257"/>
      <c r="N22" s="257"/>
    </row>
    <row r="23" spans="1:26" ht="20.25">
      <c r="A23" s="244" t="s">
        <v>18</v>
      </c>
      <c r="B23" s="751"/>
      <c r="C23" s="752"/>
      <c r="D23" s="751"/>
      <c r="E23" s="752"/>
      <c r="F23" s="753"/>
      <c r="G23" s="240"/>
      <c r="H23" s="240"/>
      <c r="I23" s="240"/>
      <c r="J23" s="240"/>
      <c r="K23" s="240"/>
      <c r="L23" s="240"/>
      <c r="M23" s="240"/>
      <c r="N23" s="240"/>
      <c r="O23" s="240"/>
      <c r="P23" s="240"/>
      <c r="Q23" s="240"/>
      <c r="R23" s="240"/>
      <c r="S23" s="240"/>
      <c r="T23" s="240"/>
      <c r="U23" s="240"/>
      <c r="V23" s="240"/>
      <c r="W23" s="240"/>
      <c r="X23" s="240"/>
      <c r="Y23" s="240"/>
      <c r="Z23" s="240"/>
    </row>
    <row r="24" spans="1:26">
      <c r="A24" s="236" t="s">
        <v>19</v>
      </c>
      <c r="B24" s="751">
        <v>6235865460</v>
      </c>
      <c r="C24" s="752">
        <v>6859452000</v>
      </c>
      <c r="D24" s="751">
        <v>7373910900</v>
      </c>
      <c r="E24" s="752">
        <v>7890084660</v>
      </c>
      <c r="F24" s="753">
        <v>8442390580</v>
      </c>
    </row>
    <row r="25" spans="1:26">
      <c r="A25" s="236" t="s">
        <v>252</v>
      </c>
      <c r="B25" s="751">
        <v>2035465000</v>
      </c>
      <c r="C25" s="752">
        <v>2035465000</v>
      </c>
      <c r="D25" s="751">
        <v>2035465000</v>
      </c>
      <c r="E25" s="752">
        <v>2035465000</v>
      </c>
      <c r="F25" s="753">
        <v>2035465000</v>
      </c>
    </row>
    <row r="26" spans="1:26">
      <c r="A26" s="236" t="s">
        <v>253</v>
      </c>
      <c r="B26" s="751">
        <v>105878200</v>
      </c>
      <c r="C26" s="752">
        <v>105878200</v>
      </c>
      <c r="D26" s="751">
        <v>105878200</v>
      </c>
      <c r="E26" s="752">
        <v>105878200</v>
      </c>
      <c r="F26" s="753">
        <v>105878200</v>
      </c>
    </row>
    <row r="27" spans="1:26">
      <c r="A27" s="236" t="s">
        <v>254</v>
      </c>
      <c r="B27" s="751">
        <v>324011067</v>
      </c>
      <c r="C27" s="752">
        <v>852508043</v>
      </c>
      <c r="D27" s="751">
        <v>1949557722</v>
      </c>
      <c r="E27" s="752">
        <v>2211743936</v>
      </c>
      <c r="F27" s="753">
        <v>2211743936</v>
      </c>
    </row>
    <row r="28" spans="1:26">
      <c r="A28" s="236" t="s">
        <v>255</v>
      </c>
      <c r="B28" s="751">
        <v>266786579</v>
      </c>
      <c r="C28" s="752">
        <v>596561713</v>
      </c>
      <c r="D28" s="751">
        <v>192272252</v>
      </c>
      <c r="E28" s="752">
        <v>145585283</v>
      </c>
      <c r="F28" s="762">
        <v>-452626946</v>
      </c>
    </row>
    <row r="29" spans="1:26">
      <c r="A29" s="237" t="s">
        <v>261</v>
      </c>
      <c r="B29" s="751"/>
      <c r="C29" s="754"/>
      <c r="D29" s="751"/>
      <c r="E29" s="763">
        <v>-939072</v>
      </c>
      <c r="F29" s="764">
        <v>-18078434</v>
      </c>
    </row>
    <row r="30" spans="1:26">
      <c r="A30" s="236" t="s">
        <v>20</v>
      </c>
      <c r="B30" s="751">
        <v>31587049056</v>
      </c>
      <c r="C30" s="752">
        <v>38577835254</v>
      </c>
      <c r="D30" s="751">
        <v>46159482757</v>
      </c>
      <c r="E30" s="752">
        <v>55492799165</v>
      </c>
      <c r="F30" s="753">
        <v>64981071577</v>
      </c>
    </row>
    <row r="31" spans="1:26">
      <c r="A31" s="236" t="s">
        <v>21</v>
      </c>
      <c r="B31" s="751">
        <v>2098295</v>
      </c>
      <c r="C31" s="752">
        <v>12674141</v>
      </c>
      <c r="D31" s="751">
        <v>24901060</v>
      </c>
      <c r="E31" s="752"/>
      <c r="F31" s="753"/>
    </row>
    <row r="32" spans="1:26" ht="15.75">
      <c r="A32" s="245" t="s">
        <v>22</v>
      </c>
      <c r="B32" s="765">
        <f>SUM(B24:B30)</f>
        <v>40555055362</v>
      </c>
      <c r="C32" s="765">
        <f t="shared" ref="C32:F32" si="3">SUM(C24:C30)</f>
        <v>49027700210</v>
      </c>
      <c r="D32" s="765">
        <f t="shared" si="3"/>
        <v>57816566831</v>
      </c>
      <c r="E32" s="765">
        <f t="shared" si="3"/>
        <v>67880617172</v>
      </c>
      <c r="F32" s="765">
        <f t="shared" si="3"/>
        <v>77305843913</v>
      </c>
      <c r="G32" s="240"/>
      <c r="H32" s="240"/>
      <c r="I32" s="240"/>
      <c r="J32" s="240"/>
      <c r="K32" s="240"/>
      <c r="L32" s="240"/>
      <c r="M32" s="240"/>
      <c r="N32" s="240"/>
      <c r="O32" s="240"/>
      <c r="P32" s="240"/>
      <c r="Q32" s="240"/>
      <c r="R32" s="240"/>
      <c r="S32" s="240"/>
      <c r="T32" s="240"/>
    </row>
    <row r="33" spans="1:26">
      <c r="A33" s="239"/>
      <c r="B33" s="759"/>
      <c r="C33" s="759"/>
      <c r="D33" s="759"/>
      <c r="E33" s="759"/>
      <c r="F33" s="760"/>
    </row>
    <row r="34" spans="1:26">
      <c r="A34" s="236" t="s">
        <v>23</v>
      </c>
      <c r="B34" s="751"/>
      <c r="C34" s="752"/>
      <c r="D34" s="751"/>
      <c r="E34" s="752"/>
      <c r="F34" s="753"/>
    </row>
    <row r="35" spans="1:26">
      <c r="A35" s="236" t="s">
        <v>24</v>
      </c>
      <c r="B35" s="751">
        <v>1054498262</v>
      </c>
      <c r="C35" s="752">
        <v>1129233846</v>
      </c>
      <c r="D35" s="751">
        <v>1231133152</v>
      </c>
      <c r="E35" s="752">
        <v>1294346873</v>
      </c>
      <c r="F35" s="753">
        <v>1272750021</v>
      </c>
    </row>
    <row r="36" spans="1:26" ht="15.75">
      <c r="A36" s="238" t="s">
        <v>25</v>
      </c>
      <c r="B36" s="757">
        <f>B35</f>
        <v>1054498262</v>
      </c>
      <c r="C36" s="757">
        <f t="shared" ref="C36:F36" si="4">C35</f>
        <v>1129233846</v>
      </c>
      <c r="D36" s="757">
        <f t="shared" si="4"/>
        <v>1231133152</v>
      </c>
      <c r="E36" s="757">
        <f t="shared" si="4"/>
        <v>1294346873</v>
      </c>
      <c r="F36" s="758">
        <f t="shared" si="4"/>
        <v>1272750021</v>
      </c>
      <c r="G36" s="240"/>
      <c r="H36" s="240"/>
      <c r="I36" s="240"/>
      <c r="J36" s="240"/>
      <c r="K36" s="240"/>
      <c r="L36" s="240"/>
      <c r="M36" s="240"/>
      <c r="N36" s="240"/>
      <c r="O36" s="240"/>
      <c r="P36" s="240"/>
      <c r="Q36" s="240"/>
      <c r="R36" s="240"/>
      <c r="S36" s="240"/>
      <c r="T36" s="240"/>
      <c r="U36" s="240"/>
      <c r="V36" s="240"/>
      <c r="W36" s="240"/>
      <c r="X36" s="240"/>
      <c r="Y36" s="240"/>
      <c r="Z36" s="240"/>
    </row>
    <row r="37" spans="1:26">
      <c r="A37" s="239"/>
      <c r="B37" s="759"/>
      <c r="C37" s="759"/>
      <c r="D37" s="759"/>
      <c r="E37" s="759"/>
      <c r="F37" s="760"/>
    </row>
    <row r="38" spans="1:26">
      <c r="A38" s="236" t="s">
        <v>26</v>
      </c>
      <c r="B38" s="751"/>
      <c r="C38" s="752"/>
      <c r="D38" s="751"/>
      <c r="E38" s="752"/>
      <c r="F38" s="753"/>
    </row>
    <row r="39" spans="1:26">
      <c r="A39" s="236" t="s">
        <v>260</v>
      </c>
      <c r="B39" s="751">
        <v>2693932</v>
      </c>
      <c r="C39" s="752"/>
      <c r="D39" s="751"/>
      <c r="E39" s="752"/>
      <c r="F39" s="753"/>
    </row>
    <row r="40" spans="1:26">
      <c r="A40" s="236" t="s">
        <v>258</v>
      </c>
      <c r="B40" s="751">
        <v>693982698</v>
      </c>
      <c r="C40" s="752">
        <v>843937277</v>
      </c>
      <c r="D40" s="751">
        <v>524676136</v>
      </c>
      <c r="E40" s="752">
        <v>716988428</v>
      </c>
      <c r="F40" s="753">
        <v>553785496</v>
      </c>
    </row>
    <row r="41" spans="1:26">
      <c r="A41" s="236" t="s">
        <v>257</v>
      </c>
      <c r="B41" s="751">
        <v>42871218</v>
      </c>
      <c r="C41" s="752">
        <v>27576542</v>
      </c>
      <c r="D41" s="751">
        <v>89665092</v>
      </c>
      <c r="E41" s="752">
        <v>239913331</v>
      </c>
      <c r="F41" s="753">
        <v>128998444</v>
      </c>
    </row>
    <row r="42" spans="1:26">
      <c r="A42" s="236" t="s">
        <v>256</v>
      </c>
      <c r="B42" s="751">
        <v>1952569683</v>
      </c>
      <c r="C42" s="752">
        <v>1489930233</v>
      </c>
      <c r="D42" s="751">
        <v>1586059264</v>
      </c>
      <c r="E42" s="752">
        <v>2014186770</v>
      </c>
      <c r="F42" s="753">
        <v>2558763846</v>
      </c>
    </row>
    <row r="43" spans="1:26" ht="15.75">
      <c r="A43" s="238" t="s">
        <v>27</v>
      </c>
      <c r="B43" s="757">
        <f>SUM(B39:B42)</f>
        <v>2692117531</v>
      </c>
      <c r="C43" s="757">
        <f>SUM(C39:C42)</f>
        <v>2361444052</v>
      </c>
      <c r="D43" s="757">
        <f t="shared" ref="D43:F43" si="5">SUM(D39:D42)</f>
        <v>2200400492</v>
      </c>
      <c r="E43" s="757">
        <f t="shared" si="5"/>
        <v>2971088529</v>
      </c>
      <c r="F43" s="758">
        <f t="shared" si="5"/>
        <v>3241547786</v>
      </c>
      <c r="G43" s="240"/>
      <c r="H43" s="240"/>
      <c r="I43" s="240"/>
      <c r="J43" s="240"/>
      <c r="K43" s="240"/>
      <c r="L43" s="240"/>
      <c r="M43" s="240"/>
      <c r="N43" s="240"/>
      <c r="O43" s="240"/>
      <c r="P43" s="240"/>
      <c r="Q43" s="240"/>
      <c r="R43" s="240"/>
      <c r="S43" s="240"/>
      <c r="T43" s="240"/>
      <c r="U43" s="240"/>
      <c r="V43" s="240"/>
      <c r="W43" s="240"/>
      <c r="X43" s="240"/>
      <c r="Y43" s="240"/>
      <c r="Z43" s="240"/>
    </row>
    <row r="44" spans="1:26">
      <c r="A44" s="239"/>
      <c r="B44" s="759"/>
      <c r="C44" s="759"/>
      <c r="D44" s="759"/>
      <c r="E44" s="759"/>
      <c r="F44" s="760"/>
    </row>
    <row r="45" spans="1:26" ht="15.75">
      <c r="A45" s="245" t="s">
        <v>28</v>
      </c>
      <c r="B45" s="765">
        <f>B36+B43</f>
        <v>3746615793</v>
      </c>
      <c r="C45" s="765">
        <f t="shared" ref="C45:F45" si="6">C36+C43</f>
        <v>3490677898</v>
      </c>
      <c r="D45" s="765">
        <f t="shared" si="6"/>
        <v>3431533644</v>
      </c>
      <c r="E45" s="765">
        <f t="shared" si="6"/>
        <v>4265435402</v>
      </c>
      <c r="F45" s="766">
        <f t="shared" si="6"/>
        <v>4514297807</v>
      </c>
      <c r="G45" s="240"/>
      <c r="H45" s="240"/>
      <c r="I45" s="240"/>
      <c r="J45" s="240"/>
      <c r="K45" s="240"/>
      <c r="L45" s="240"/>
      <c r="M45" s="240"/>
      <c r="N45" s="240"/>
      <c r="O45" s="240"/>
      <c r="P45" s="240"/>
      <c r="Q45" s="240"/>
      <c r="R45" s="240"/>
      <c r="S45" s="240"/>
      <c r="T45" s="240"/>
      <c r="U45" s="240"/>
      <c r="V45" s="240"/>
      <c r="W45" s="240"/>
      <c r="X45" s="240"/>
      <c r="Y45" s="240"/>
      <c r="Z45" s="240"/>
    </row>
    <row r="46" spans="1:26">
      <c r="A46" s="241"/>
      <c r="B46" s="751"/>
      <c r="C46" s="752"/>
      <c r="D46" s="751"/>
      <c r="E46" s="752"/>
      <c r="F46" s="753"/>
    </row>
    <row r="47" spans="1:26" ht="18.75" thickBot="1">
      <c r="A47" s="246" t="s">
        <v>29</v>
      </c>
      <c r="B47" s="767">
        <f>B45+B32+B31</f>
        <v>44303769450</v>
      </c>
      <c r="C47" s="767">
        <f t="shared" ref="C47:F47" si="7">C45+C32+C31</f>
        <v>52531052249</v>
      </c>
      <c r="D47" s="767">
        <f t="shared" si="7"/>
        <v>61273001535</v>
      </c>
      <c r="E47" s="767">
        <f t="shared" si="7"/>
        <v>72146052574</v>
      </c>
      <c r="F47" s="767">
        <f t="shared" si="7"/>
        <v>81820141720</v>
      </c>
      <c r="G47" s="240"/>
      <c r="H47" s="240"/>
      <c r="I47" s="240"/>
      <c r="J47" s="240"/>
      <c r="K47" s="240"/>
      <c r="L47" s="240"/>
      <c r="M47" s="240"/>
      <c r="N47" s="240"/>
      <c r="O47" s="240"/>
      <c r="P47" s="240"/>
      <c r="Q47" s="240"/>
      <c r="R47" s="240"/>
      <c r="S47" s="240"/>
      <c r="T47" s="240"/>
      <c r="U47" s="240"/>
      <c r="V47" s="240"/>
      <c r="W47" s="240"/>
      <c r="X47" s="240"/>
      <c r="Y47" s="240"/>
      <c r="Z47" s="240"/>
    </row>
    <row r="48" spans="1:2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
    <mergeCell ref="A1:F1"/>
    <mergeCell ref="A2:F2"/>
  </mergeCells>
  <pageMargins left="0.7" right="0.7" top="0.75" bottom="0.75" header="0" footer="0"/>
  <pageSetup orientation="portrait" r:id="rId1"/>
  <ignoredErrors>
    <ignoredError sqref="C3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1C5D7"/>
  </sheetPr>
  <dimension ref="A1:J1002"/>
  <sheetViews>
    <sheetView showGridLines="0" topLeftCell="A7" workbookViewId="0">
      <selection activeCell="H13" sqref="H13"/>
    </sheetView>
  </sheetViews>
  <sheetFormatPr defaultColWidth="12.625" defaultRowHeight="15" customHeight="1"/>
  <cols>
    <col min="1" max="1" width="55.25" bestFit="1" customWidth="1"/>
    <col min="2" max="3" width="19.25" bestFit="1" customWidth="1"/>
    <col min="4" max="6" width="16.375" bestFit="1" customWidth="1"/>
    <col min="7" max="26" width="8.625" customWidth="1"/>
  </cols>
  <sheetData>
    <row r="1" spans="1:10" ht="24" thickBot="1">
      <c r="A1" s="568" t="s">
        <v>250</v>
      </c>
      <c r="B1" s="569"/>
      <c r="C1" s="569"/>
      <c r="D1" s="569"/>
      <c r="E1" s="569"/>
      <c r="F1" s="570"/>
    </row>
    <row r="2" spans="1:10" ht="20.25">
      <c r="A2" s="571" t="s">
        <v>103</v>
      </c>
      <c r="B2" s="572"/>
      <c r="C2" s="572"/>
      <c r="D2" s="572"/>
      <c r="E2" s="572"/>
      <c r="F2" s="573"/>
    </row>
    <row r="3" spans="1:10">
      <c r="A3" s="55"/>
      <c r="B3" s="56" t="s">
        <v>1</v>
      </c>
      <c r="C3" s="57" t="s">
        <v>2</v>
      </c>
      <c r="D3" s="56" t="s">
        <v>3</v>
      </c>
      <c r="E3" s="57" t="s">
        <v>4</v>
      </c>
      <c r="F3" s="58" t="s">
        <v>5</v>
      </c>
    </row>
    <row r="4" spans="1:10">
      <c r="A4" s="59"/>
      <c r="B4" s="60"/>
      <c r="C4" s="60"/>
      <c r="D4" s="60"/>
      <c r="E4" s="60"/>
      <c r="F4" s="61"/>
    </row>
    <row r="5" spans="1:10" s="2" customFormat="1" ht="15.75">
      <c r="A5" s="63" t="s">
        <v>266</v>
      </c>
      <c r="B5" s="768">
        <v>38325600166</v>
      </c>
      <c r="C5" s="768">
        <v>42284675530</v>
      </c>
      <c r="D5" s="768">
        <v>45886959303</v>
      </c>
      <c r="E5" s="768">
        <v>50866867352</v>
      </c>
      <c r="F5" s="768">
        <v>52926218655</v>
      </c>
    </row>
    <row r="6" spans="1:10" s="2" customFormat="1">
      <c r="A6" s="227" t="s">
        <v>267</v>
      </c>
      <c r="B6" s="769">
        <v>5251839594</v>
      </c>
      <c r="C6" s="769">
        <v>5741535424</v>
      </c>
      <c r="D6" s="769">
        <v>6233127665</v>
      </c>
      <c r="E6" s="769">
        <v>-6833233083</v>
      </c>
      <c r="F6" s="770">
        <v>7049769814</v>
      </c>
    </row>
    <row r="7" spans="1:10" s="2" customFormat="1" ht="15.75">
      <c r="A7" s="63" t="s">
        <v>268</v>
      </c>
      <c r="B7" s="771">
        <f>B5-B6</f>
        <v>33073760572</v>
      </c>
      <c r="C7" s="771">
        <f>C5-C6</f>
        <v>36543140106</v>
      </c>
      <c r="D7" s="771">
        <f>D5-D6</f>
        <v>39653831638</v>
      </c>
      <c r="E7" s="771">
        <f>SUM(E5:E6)</f>
        <v>44033634269</v>
      </c>
      <c r="F7" s="771">
        <f>F5-F6</f>
        <v>45876448841</v>
      </c>
    </row>
    <row r="8" spans="1:10">
      <c r="A8" s="62" t="s">
        <v>104</v>
      </c>
      <c r="B8" s="677">
        <v>-17082336657</v>
      </c>
      <c r="C8" s="772">
        <v>-18274858914</v>
      </c>
      <c r="D8" s="677">
        <v>-20089819913</v>
      </c>
      <c r="E8" s="772">
        <v>-22091384351</v>
      </c>
      <c r="F8" s="685">
        <v>-22536669960</v>
      </c>
    </row>
    <row r="9" spans="1:10" ht="15.75">
      <c r="A9" s="63" t="s">
        <v>35</v>
      </c>
      <c r="B9" s="771">
        <f>SUM(B7:B8)</f>
        <v>15991423915</v>
      </c>
      <c r="C9" s="771">
        <f t="shared" ref="C9:F9" si="0">SUM(C7:C8)</f>
        <v>18268281192</v>
      </c>
      <c r="D9" s="771">
        <f t="shared" si="0"/>
        <v>19564011725</v>
      </c>
      <c r="E9" s="771">
        <f t="shared" si="0"/>
        <v>21942249918</v>
      </c>
      <c r="F9" s="771">
        <f t="shared" si="0"/>
        <v>23339778881</v>
      </c>
    </row>
    <row r="10" spans="1:10">
      <c r="A10" s="59"/>
      <c r="B10" s="773"/>
      <c r="C10" s="773"/>
      <c r="D10" s="773"/>
      <c r="E10" s="773"/>
      <c r="F10" s="774"/>
    </row>
    <row r="11" spans="1:10">
      <c r="A11" s="62" t="s">
        <v>284</v>
      </c>
      <c r="B11" s="677">
        <v>-4349841995</v>
      </c>
      <c r="C11" s="772">
        <v>-5056851926</v>
      </c>
      <c r="D11" s="677">
        <v>-5751408276</v>
      </c>
      <c r="E11" s="772">
        <v>-6603747456</v>
      </c>
      <c r="F11" s="685">
        <v>-7382790764</v>
      </c>
    </row>
    <row r="12" spans="1:10">
      <c r="A12" s="62" t="s">
        <v>105</v>
      </c>
      <c r="B12" s="677">
        <v>-845013243</v>
      </c>
      <c r="C12" s="772">
        <v>-915210284</v>
      </c>
      <c r="D12" s="677">
        <v>-1031567251</v>
      </c>
      <c r="E12" s="772">
        <v>-1195957909</v>
      </c>
      <c r="F12" s="685">
        <v>-1226459468</v>
      </c>
    </row>
    <row r="13" spans="1:10" s="2" customFormat="1">
      <c r="A13" s="62" t="s">
        <v>270</v>
      </c>
      <c r="B13" s="677">
        <v>-5299871</v>
      </c>
      <c r="C13" s="772">
        <v>-154389</v>
      </c>
      <c r="D13" s="677">
        <v>-93599</v>
      </c>
      <c r="E13" s="772">
        <v>-95196</v>
      </c>
      <c r="F13" s="685">
        <v>-107090</v>
      </c>
    </row>
    <row r="14" spans="1:10" ht="15.75">
      <c r="A14" s="63" t="s">
        <v>269</v>
      </c>
      <c r="B14" s="771">
        <f>SUM(B9,B11:B13)</f>
        <v>10791268806</v>
      </c>
      <c r="C14" s="771">
        <f t="shared" ref="C14:F14" si="1">SUM(C9,C11:C13)</f>
        <v>12296064593</v>
      </c>
      <c r="D14" s="771">
        <f t="shared" si="1"/>
        <v>12780942599</v>
      </c>
      <c r="E14" s="771">
        <f t="shared" si="1"/>
        <v>14142449357</v>
      </c>
      <c r="F14" s="771">
        <f t="shared" si="1"/>
        <v>14730421559</v>
      </c>
      <c r="J14" s="43"/>
    </row>
    <row r="15" spans="1:10" ht="15.75">
      <c r="A15" s="64"/>
      <c r="B15" s="773"/>
      <c r="C15" s="773"/>
      <c r="D15" s="773"/>
      <c r="E15" s="773"/>
      <c r="F15" s="774"/>
    </row>
    <row r="16" spans="1:10">
      <c r="A16" s="62" t="s">
        <v>38</v>
      </c>
      <c r="B16" s="677">
        <v>657143316</v>
      </c>
      <c r="C16" s="772">
        <v>1093575634</v>
      </c>
      <c r="D16" s="677">
        <v>1768094011</v>
      </c>
      <c r="E16" s="772">
        <v>2310360094</v>
      </c>
      <c r="F16" s="685">
        <v>3126430063</v>
      </c>
    </row>
    <row r="17" spans="1:6" ht="15.75">
      <c r="A17" s="63" t="s">
        <v>106</v>
      </c>
      <c r="B17" s="771">
        <f>SUM(B14,B16)</f>
        <v>11448412122</v>
      </c>
      <c r="C17" s="771">
        <f t="shared" ref="C17:F17" si="2">SUM(C14,C16)</f>
        <v>13389640227</v>
      </c>
      <c r="D17" s="771">
        <f t="shared" si="2"/>
        <v>14549036610</v>
      </c>
      <c r="E17" s="771">
        <f t="shared" si="2"/>
        <v>16452809451</v>
      </c>
      <c r="F17" s="771">
        <f t="shared" si="2"/>
        <v>17856851622</v>
      </c>
    </row>
    <row r="18" spans="1:6">
      <c r="A18" s="62" t="s">
        <v>271</v>
      </c>
      <c r="B18" s="677">
        <v>-545162482</v>
      </c>
      <c r="C18" s="772">
        <v>-646577651</v>
      </c>
      <c r="D18" s="677">
        <v>-701097850</v>
      </c>
      <c r="E18" s="772">
        <v>-791921561</v>
      </c>
      <c r="F18" s="685">
        <v>-859269098</v>
      </c>
    </row>
    <row r="19" spans="1:6" ht="15.75">
      <c r="A19" s="63" t="s">
        <v>42</v>
      </c>
      <c r="B19" s="771">
        <f>SUM(B17,B18)</f>
        <v>10903249640</v>
      </c>
      <c r="C19" s="771">
        <f>SUM(C17,C18)</f>
        <v>12743062576</v>
      </c>
      <c r="D19" s="771">
        <f>SUM(D17,D18)</f>
        <v>13847938760</v>
      </c>
      <c r="E19" s="771">
        <f>SUM(E17,E18)</f>
        <v>15660887890</v>
      </c>
      <c r="F19" s="771">
        <f>SUM(F17,F18)</f>
        <v>16997582524</v>
      </c>
    </row>
    <row r="20" spans="1:6" ht="15.75">
      <c r="A20" s="64"/>
      <c r="B20" s="773"/>
      <c r="C20" s="773"/>
      <c r="D20" s="773"/>
      <c r="E20" s="773"/>
      <c r="F20" s="774"/>
    </row>
    <row r="21" spans="1:6" ht="15.75">
      <c r="A21" s="65" t="s">
        <v>107</v>
      </c>
      <c r="B21" s="677"/>
      <c r="C21" s="772"/>
      <c r="D21" s="677"/>
      <c r="E21" s="772"/>
      <c r="F21" s="685"/>
    </row>
    <row r="22" spans="1:6">
      <c r="A22" s="62" t="s">
        <v>272</v>
      </c>
      <c r="B22" s="677">
        <v>-2389605742</v>
      </c>
      <c r="C22" s="772">
        <v>-2949150787</v>
      </c>
      <c r="D22" s="677">
        <v>-3255148172</v>
      </c>
      <c r="E22" s="772">
        <v>-3876979330</v>
      </c>
      <c r="F22" s="685">
        <v>-4251005177</v>
      </c>
    </row>
    <row r="23" spans="1:6">
      <c r="A23" s="62" t="s">
        <v>273</v>
      </c>
      <c r="B23" s="677">
        <v>-227100343</v>
      </c>
      <c r="C23" s="772">
        <v>-74735584</v>
      </c>
      <c r="D23" s="677">
        <v>-101899306</v>
      </c>
      <c r="E23" s="772">
        <v>-63213721</v>
      </c>
      <c r="F23" s="685">
        <v>21596852</v>
      </c>
    </row>
    <row r="24" spans="1:6" ht="15.75">
      <c r="A24" s="71" t="s">
        <v>274</v>
      </c>
      <c r="B24" s="679">
        <f>SUM(B22:B23)</f>
        <v>-2616706085</v>
      </c>
      <c r="C24" s="679">
        <f t="shared" ref="C24:D24" si="3">SUM(C22:C23)</f>
        <v>-3023886371</v>
      </c>
      <c r="D24" s="679">
        <f t="shared" si="3"/>
        <v>-3357047478</v>
      </c>
      <c r="E24" s="679">
        <f>SUM(E22:E23)</f>
        <v>-3940193051</v>
      </c>
      <c r="F24" s="679">
        <f>SUM(F22:F23)</f>
        <v>-4229408325</v>
      </c>
    </row>
    <row r="25" spans="1:6" s="2" customFormat="1" ht="15.75">
      <c r="A25" s="229" t="s">
        <v>62</v>
      </c>
      <c r="B25" s="775">
        <f>SUM(B19,B24)</f>
        <v>8286543555</v>
      </c>
      <c r="C25" s="775">
        <f t="shared" ref="C25:E25" si="4">SUM(C19,C24)</f>
        <v>9719176205</v>
      </c>
      <c r="D25" s="775">
        <f t="shared" si="4"/>
        <v>10490891282</v>
      </c>
      <c r="E25" s="775">
        <f t="shared" si="4"/>
        <v>11720694839</v>
      </c>
      <c r="F25" s="775">
        <f>SUM(F19,F24)</f>
        <v>12768174199</v>
      </c>
    </row>
    <row r="26" spans="1:6" s="228" customFormat="1">
      <c r="A26" s="231" t="s">
        <v>275</v>
      </c>
      <c r="B26" s="683">
        <v>916314929</v>
      </c>
      <c r="C26" s="776">
        <v>928615539</v>
      </c>
      <c r="D26" s="683">
        <v>1115299919</v>
      </c>
      <c r="E26" s="776">
        <v>931706302</v>
      </c>
      <c r="F26" s="777">
        <v>586239690</v>
      </c>
    </row>
    <row r="27" spans="1:6" ht="15.75">
      <c r="A27" s="63" t="s">
        <v>108</v>
      </c>
      <c r="B27" s="771">
        <f>SUM(B25,B26)</f>
        <v>9202858484</v>
      </c>
      <c r="C27" s="771">
        <f t="shared" ref="C27:F27" si="5">SUM(C25,C26)</f>
        <v>10647791744</v>
      </c>
      <c r="D27" s="771">
        <f t="shared" si="5"/>
        <v>11606191201</v>
      </c>
      <c r="E27" s="771">
        <f t="shared" si="5"/>
        <v>12652401141</v>
      </c>
      <c r="F27" s="771">
        <f t="shared" si="5"/>
        <v>13354413889</v>
      </c>
    </row>
    <row r="28" spans="1:6" s="2" customFormat="1" ht="15.75">
      <c r="A28" s="230" t="s">
        <v>276</v>
      </c>
      <c r="B28" s="778"/>
      <c r="C28" s="778"/>
      <c r="D28" s="778"/>
      <c r="E28" s="778"/>
      <c r="F28" s="779"/>
    </row>
    <row r="29" spans="1:6" s="2" customFormat="1">
      <c r="A29" s="230" t="s">
        <v>277</v>
      </c>
      <c r="B29" s="780">
        <v>-3169514</v>
      </c>
      <c r="C29" s="780">
        <v>329775134</v>
      </c>
      <c r="D29" s="780">
        <v>-404289461</v>
      </c>
      <c r="E29" s="780">
        <v>-46686969</v>
      </c>
      <c r="F29" s="781">
        <v>-598212229</v>
      </c>
    </row>
    <row r="30" spans="1:6" s="2" customFormat="1" ht="15.75">
      <c r="A30" s="230" t="s">
        <v>285</v>
      </c>
      <c r="B30" s="780"/>
      <c r="C30" s="780"/>
      <c r="D30" s="778"/>
      <c r="E30" s="780">
        <v>-939072</v>
      </c>
      <c r="F30" s="781">
        <v>-17139363</v>
      </c>
    </row>
    <row r="31" spans="1:6" s="2" customFormat="1" ht="15.75">
      <c r="A31" s="63" t="s">
        <v>278</v>
      </c>
      <c r="B31" s="771">
        <f>SUM(B27:B29)</f>
        <v>9199688970</v>
      </c>
      <c r="C31" s="771">
        <f t="shared" ref="C31:D31" si="6">SUM(C27:C29)</f>
        <v>10977566878</v>
      </c>
      <c r="D31" s="771">
        <f t="shared" si="6"/>
        <v>11201901740</v>
      </c>
      <c r="E31" s="771">
        <f>SUM(E27:E30)</f>
        <v>12604775100</v>
      </c>
      <c r="F31" s="771">
        <f>SUM(F27:F30)</f>
        <v>12739062297</v>
      </c>
    </row>
    <row r="32" spans="1:6" ht="15.75">
      <c r="A32" s="64"/>
      <c r="B32" s="773"/>
      <c r="C32" s="773"/>
      <c r="D32" s="773"/>
      <c r="E32" s="773"/>
      <c r="F32" s="774"/>
    </row>
    <row r="33" spans="1:7" ht="15.75">
      <c r="A33" s="66" t="s">
        <v>279</v>
      </c>
      <c r="B33" s="677"/>
      <c r="C33" s="772"/>
      <c r="D33" s="677"/>
      <c r="E33" s="772"/>
      <c r="F33" s="685"/>
    </row>
    <row r="34" spans="1:7">
      <c r="A34" s="62" t="s">
        <v>280</v>
      </c>
      <c r="B34" s="677">
        <v>9198977093</v>
      </c>
      <c r="C34" s="772">
        <v>10637215898</v>
      </c>
      <c r="D34" s="677">
        <v>11593964282</v>
      </c>
      <c r="E34" s="772">
        <v>12645724268</v>
      </c>
      <c r="F34" s="685">
        <v>13354413889</v>
      </c>
    </row>
    <row r="35" spans="1:7">
      <c r="A35" s="62" t="s">
        <v>281</v>
      </c>
      <c r="B35" s="677">
        <v>3881391</v>
      </c>
      <c r="C35" s="772">
        <v>10575846</v>
      </c>
      <c r="D35" s="677">
        <v>12226919</v>
      </c>
      <c r="E35" s="772">
        <v>6676873</v>
      </c>
      <c r="F35" s="685"/>
    </row>
    <row r="36" spans="1:7" s="228" customFormat="1" ht="15.75">
      <c r="A36" s="67"/>
      <c r="B36" s="771">
        <f>SUM(B34:B35)</f>
        <v>9202858484</v>
      </c>
      <c r="C36" s="771">
        <f t="shared" ref="C36:F36" si="7">SUM(C34:C35)</f>
        <v>10647791744</v>
      </c>
      <c r="D36" s="771">
        <f t="shared" si="7"/>
        <v>11606191201</v>
      </c>
      <c r="E36" s="771">
        <f t="shared" si="7"/>
        <v>12652401141</v>
      </c>
      <c r="F36" s="771">
        <f t="shared" si="7"/>
        <v>13354413889</v>
      </c>
    </row>
    <row r="37" spans="1:7" ht="15.75">
      <c r="A37" s="66" t="s">
        <v>282</v>
      </c>
      <c r="B37" s="677"/>
      <c r="C37" s="772"/>
      <c r="D37" s="677"/>
      <c r="E37" s="772"/>
      <c r="F37" s="685"/>
    </row>
    <row r="38" spans="1:7">
      <c r="A38" s="62" t="s">
        <v>280</v>
      </c>
      <c r="B38" s="677">
        <v>9195807579</v>
      </c>
      <c r="C38" s="772">
        <v>10966991032</v>
      </c>
      <c r="D38" s="677">
        <v>11189674821</v>
      </c>
      <c r="E38" s="772">
        <v>12598199525</v>
      </c>
      <c r="F38" s="685">
        <v>12739062297</v>
      </c>
    </row>
    <row r="39" spans="1:7">
      <c r="A39" s="62" t="s">
        <v>281</v>
      </c>
      <c r="B39" s="677">
        <v>3881391</v>
      </c>
      <c r="C39" s="772">
        <v>10575846</v>
      </c>
      <c r="D39" s="677">
        <v>12226919</v>
      </c>
      <c r="E39" s="772">
        <v>6575575</v>
      </c>
      <c r="F39" s="685"/>
    </row>
    <row r="40" spans="1:7" ht="15.75">
      <c r="A40" s="63"/>
      <c r="B40" s="771">
        <f>B38+B39</f>
        <v>9199688970</v>
      </c>
      <c r="C40" s="771">
        <f>C38+C39</f>
        <v>10977566878</v>
      </c>
      <c r="D40" s="771">
        <f t="shared" ref="D40:F40" si="8">D38+D39</f>
        <v>11201901740</v>
      </c>
      <c r="E40" s="771">
        <f t="shared" si="8"/>
        <v>12604775100</v>
      </c>
      <c r="F40" s="771">
        <f t="shared" si="8"/>
        <v>12739062297</v>
      </c>
    </row>
    <row r="41" spans="1:7">
      <c r="A41" s="59"/>
      <c r="B41" s="782"/>
      <c r="C41" s="782"/>
      <c r="D41" s="782"/>
      <c r="E41" s="782"/>
      <c r="F41" s="783"/>
    </row>
    <row r="42" spans="1:7" ht="18.75" thickBot="1">
      <c r="A42" s="68" t="s">
        <v>283</v>
      </c>
      <c r="B42" s="784">
        <v>13.41</v>
      </c>
      <c r="C42" s="784">
        <v>15.51</v>
      </c>
      <c r="D42" s="784">
        <v>15.72</v>
      </c>
      <c r="E42" s="784">
        <v>16.03</v>
      </c>
      <c r="F42" s="785">
        <v>15.82</v>
      </c>
    </row>
    <row r="43" spans="1:7" ht="14.25">
      <c r="A43" s="69"/>
      <c r="B43" s="69"/>
      <c r="C43" s="69"/>
      <c r="D43" s="69"/>
      <c r="E43" s="69"/>
      <c r="F43" s="69"/>
    </row>
    <row r="44" spans="1:7" ht="14.25">
      <c r="A44" s="69"/>
      <c r="B44" s="70"/>
      <c r="C44" s="70"/>
      <c r="D44" s="70"/>
      <c r="E44" s="70"/>
      <c r="F44" s="70"/>
    </row>
    <row r="45" spans="1:7" ht="14.25"/>
    <row r="46" spans="1:7" ht="14.25" customHeight="1">
      <c r="A46" s="2"/>
      <c r="B46" s="2"/>
      <c r="C46" s="2"/>
      <c r="D46" s="2"/>
      <c r="E46" s="2"/>
      <c r="F46" s="2"/>
    </row>
    <row r="47" spans="1:7" ht="14.25" customHeight="1">
      <c r="A47" s="2"/>
      <c r="B47" s="2"/>
      <c r="C47" s="2"/>
      <c r="D47" s="2"/>
      <c r="E47" s="2"/>
      <c r="F47" s="2"/>
    </row>
    <row r="48" spans="1:7" ht="14.25" customHeight="1">
      <c r="G48" s="2"/>
    </row>
    <row r="49" spans="7:7" ht="14.25" customHeight="1">
      <c r="G49" s="2"/>
    </row>
    <row r="50" spans="7:7" ht="14.25" customHeight="1">
      <c r="G50" s="2"/>
    </row>
    <row r="51" spans="7:7" ht="14.25" customHeight="1"/>
    <row r="52" spans="7:7" ht="14.25" customHeight="1"/>
    <row r="53" spans="7:7" ht="14.25" customHeight="1"/>
    <row r="54" spans="7:7" ht="14.25" customHeight="1"/>
    <row r="55" spans="7:7" ht="14.25" customHeight="1"/>
    <row r="56" spans="7:7" ht="14.25" customHeight="1"/>
    <row r="57" spans="7:7" ht="14.25" customHeight="1"/>
    <row r="58" spans="7:7" ht="14.25" customHeight="1"/>
    <row r="59" spans="7:7" ht="14.25" customHeight="1"/>
    <row r="60" spans="7:7" ht="14.25" customHeight="1"/>
    <row r="61" spans="7:7" ht="14.25" customHeight="1"/>
    <row r="62" spans="7:7" ht="14.25" customHeight="1"/>
    <row r="63" spans="7:7" ht="14.25" customHeight="1"/>
    <row r="64" spans="7: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2">
    <mergeCell ref="A1:F1"/>
    <mergeCell ref="A2:F2"/>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1C5D7"/>
  </sheetPr>
  <dimension ref="A1:Z1008"/>
  <sheetViews>
    <sheetView showGridLines="0" topLeftCell="A4" zoomScale="90" zoomScaleNormal="90" workbookViewId="0">
      <selection activeCell="H34" sqref="H34"/>
    </sheetView>
  </sheetViews>
  <sheetFormatPr defaultColWidth="12.625" defaultRowHeight="15" customHeight="1"/>
  <cols>
    <col min="1" max="1" width="69.625" bestFit="1" customWidth="1"/>
    <col min="2" max="6" width="19" bestFit="1" customWidth="1"/>
    <col min="7" max="26" width="8.625" customWidth="1"/>
  </cols>
  <sheetData>
    <row r="1" spans="1:6" ht="23.25">
      <c r="A1" s="568" t="s">
        <v>250</v>
      </c>
      <c r="B1" s="569"/>
      <c r="C1" s="569"/>
      <c r="D1" s="569"/>
      <c r="E1" s="569"/>
      <c r="F1" s="570"/>
    </row>
    <row r="2" spans="1:6" ht="20.25">
      <c r="A2" s="567" t="s">
        <v>99</v>
      </c>
      <c r="B2" s="569"/>
      <c r="C2" s="569"/>
      <c r="D2" s="569"/>
      <c r="E2" s="569"/>
      <c r="F2" s="570"/>
    </row>
    <row r="3" spans="1:6">
      <c r="A3" s="45"/>
      <c r="B3" s="46" t="s">
        <v>1</v>
      </c>
      <c r="C3" s="47" t="s">
        <v>2</v>
      </c>
      <c r="D3" s="46" t="s">
        <v>3</v>
      </c>
      <c r="E3" s="47" t="s">
        <v>4</v>
      </c>
      <c r="F3" s="48" t="s">
        <v>5</v>
      </c>
    </row>
    <row r="4" spans="1:6" ht="18">
      <c r="A4" s="136"/>
      <c r="B4" s="137"/>
      <c r="C4" s="138"/>
      <c r="D4" s="137"/>
      <c r="E4" s="138"/>
      <c r="F4" s="139"/>
    </row>
    <row r="5" spans="1:6" ht="15.75">
      <c r="A5" s="144" t="s">
        <v>85</v>
      </c>
      <c r="B5" s="145"/>
      <c r="C5" s="146"/>
      <c r="D5" s="145"/>
      <c r="E5" s="146"/>
      <c r="F5" s="147"/>
    </row>
    <row r="6" spans="1:6">
      <c r="A6" s="49" t="s">
        <v>286</v>
      </c>
      <c r="B6" s="130"/>
      <c r="C6" s="131"/>
      <c r="D6" s="130"/>
      <c r="E6" s="131"/>
      <c r="F6" s="132"/>
    </row>
    <row r="7" spans="1:6">
      <c r="A7" s="49" t="s">
        <v>287</v>
      </c>
      <c r="B7" s="130">
        <v>37930633639</v>
      </c>
      <c r="C7" s="131">
        <v>41454805384</v>
      </c>
      <c r="D7" s="130">
        <v>46195703039</v>
      </c>
      <c r="E7" s="131">
        <v>51074051570</v>
      </c>
      <c r="F7" s="132">
        <v>52909065970</v>
      </c>
    </row>
    <row r="8" spans="1:6" s="2" customFormat="1">
      <c r="A8" s="224" t="s">
        <v>306</v>
      </c>
      <c r="B8" s="130"/>
      <c r="C8" s="225"/>
      <c r="D8" s="130">
        <v>83957932</v>
      </c>
      <c r="E8" s="225">
        <v>4868172</v>
      </c>
      <c r="F8" s="226">
        <v>2216358</v>
      </c>
    </row>
    <row r="9" spans="1:6" ht="15.75" thickBot="1">
      <c r="A9" s="49" t="s">
        <v>288</v>
      </c>
      <c r="B9" s="130">
        <v>112691000</v>
      </c>
      <c r="C9" s="131">
        <v>201824119</v>
      </c>
      <c r="D9" s="130">
        <v>141124951</v>
      </c>
      <c r="E9" s="131">
        <v>82804049</v>
      </c>
      <c r="F9" s="132">
        <v>33621327</v>
      </c>
    </row>
    <row r="10" spans="1:6" ht="16.5" thickBot="1">
      <c r="A10" s="49"/>
      <c r="B10" s="247">
        <f>SUM(B7:B9)</f>
        <v>38043324639</v>
      </c>
      <c r="C10" s="248">
        <f t="shared" ref="C10:F10" si="0">SUM(C7:C9)</f>
        <v>41656629503</v>
      </c>
      <c r="D10" s="248">
        <f t="shared" si="0"/>
        <v>46420785922</v>
      </c>
      <c r="E10" s="248">
        <f t="shared" si="0"/>
        <v>51161723791</v>
      </c>
      <c r="F10" s="249">
        <f t="shared" si="0"/>
        <v>52944903655</v>
      </c>
    </row>
    <row r="11" spans="1:6" ht="15.75">
      <c r="A11" s="232" t="s">
        <v>289</v>
      </c>
      <c r="B11" s="130"/>
      <c r="C11" s="131"/>
      <c r="D11" s="130"/>
      <c r="E11" s="131"/>
      <c r="F11" s="132"/>
    </row>
    <row r="12" spans="1:6">
      <c r="A12" s="49" t="s">
        <v>290</v>
      </c>
      <c r="B12" s="130">
        <v>12055106675</v>
      </c>
      <c r="C12" s="131">
        <v>12448372527</v>
      </c>
      <c r="D12" s="130">
        <v>14895596440</v>
      </c>
      <c r="E12" s="131">
        <v>15619769171</v>
      </c>
      <c r="F12" s="132">
        <v>17024316320</v>
      </c>
    </row>
    <row r="13" spans="1:6" s="2" customFormat="1">
      <c r="A13" s="224" t="s">
        <v>291</v>
      </c>
      <c r="B13" s="130">
        <v>8466672238</v>
      </c>
      <c r="C13" s="225">
        <v>9708309353</v>
      </c>
      <c r="D13" s="130">
        <v>11222587267</v>
      </c>
      <c r="E13" s="225">
        <v>11773729181</v>
      </c>
      <c r="F13" s="250">
        <v>13446602730</v>
      </c>
    </row>
    <row r="14" spans="1:6" s="2" customFormat="1">
      <c r="A14" s="224" t="s">
        <v>292</v>
      </c>
      <c r="B14" s="130">
        <v>5251839594</v>
      </c>
      <c r="C14" s="225">
        <v>5741535424</v>
      </c>
      <c r="D14" s="130">
        <v>6233127665</v>
      </c>
      <c r="E14" s="225">
        <v>6833233083</v>
      </c>
      <c r="F14" s="250">
        <v>7049769814</v>
      </c>
    </row>
    <row r="15" spans="1:6" s="2" customFormat="1">
      <c r="A15" s="224" t="s">
        <v>270</v>
      </c>
      <c r="B15" s="130">
        <v>5299871</v>
      </c>
      <c r="C15" s="225">
        <v>154389</v>
      </c>
      <c r="D15" s="130">
        <v>93599</v>
      </c>
      <c r="E15" s="225">
        <v>95196</v>
      </c>
      <c r="F15" s="250">
        <v>107090</v>
      </c>
    </row>
    <row r="16" spans="1:6" s="2" customFormat="1">
      <c r="A16" s="224" t="s">
        <v>293</v>
      </c>
      <c r="B16" s="130">
        <v>2047639860</v>
      </c>
      <c r="C16" s="225">
        <v>3596322058</v>
      </c>
      <c r="D16" s="130">
        <v>3480574440</v>
      </c>
      <c r="E16" s="225">
        <v>3565244457</v>
      </c>
      <c r="F16" s="250">
        <v>3830869094</v>
      </c>
    </row>
    <row r="17" spans="1:26" s="2" customFormat="1">
      <c r="A17" s="224" t="s">
        <v>294</v>
      </c>
      <c r="B17" s="130">
        <v>510064512</v>
      </c>
      <c r="C17" s="225">
        <v>616755878</v>
      </c>
      <c r="D17" s="130">
        <v>526322070</v>
      </c>
      <c r="E17" s="225">
        <v>867481244</v>
      </c>
      <c r="F17" s="250">
        <v>802781404</v>
      </c>
    </row>
    <row r="18" spans="1:26" s="2" customFormat="1" ht="15.75" thickBot="1">
      <c r="A18" s="224" t="s">
        <v>288</v>
      </c>
      <c r="B18" s="130">
        <v>91420912</v>
      </c>
      <c r="C18" s="225"/>
      <c r="D18" s="130">
        <v>55472332</v>
      </c>
      <c r="E18" s="225">
        <v>110378188</v>
      </c>
      <c r="F18" s="250">
        <v>29685266</v>
      </c>
    </row>
    <row r="19" spans="1:26" s="2" customFormat="1" ht="15.75">
      <c r="A19" s="224"/>
      <c r="B19" s="255">
        <f>SUM(B12:B18)</f>
        <v>28428043662</v>
      </c>
      <c r="C19" s="255">
        <f t="shared" ref="C19:F19" si="1">SUM(C12:C18)</f>
        <v>32111449629</v>
      </c>
      <c r="D19" s="255">
        <f t="shared" si="1"/>
        <v>36413773813</v>
      </c>
      <c r="E19" s="255">
        <f t="shared" si="1"/>
        <v>38769930520</v>
      </c>
      <c r="F19" s="256">
        <f t="shared" si="1"/>
        <v>42184131718</v>
      </c>
    </row>
    <row r="20" spans="1:26" ht="15.75">
      <c r="A20" s="50" t="s">
        <v>87</v>
      </c>
      <c r="B20" s="51">
        <f>B10-B19</f>
        <v>9615280977</v>
      </c>
      <c r="C20" s="51">
        <f t="shared" ref="C20:F20" si="2">C10-C19</f>
        <v>9545179874</v>
      </c>
      <c r="D20" s="51">
        <f t="shared" si="2"/>
        <v>10007012109</v>
      </c>
      <c r="E20" s="51">
        <f t="shared" si="2"/>
        <v>12391793271</v>
      </c>
      <c r="F20" s="251">
        <f t="shared" si="2"/>
        <v>10760771937</v>
      </c>
    </row>
    <row r="21" spans="1:26">
      <c r="A21" s="52"/>
      <c r="B21" s="53"/>
      <c r="C21" s="53"/>
      <c r="D21" s="53"/>
      <c r="E21" s="53"/>
      <c r="F21" s="54"/>
    </row>
    <row r="22" spans="1:26" ht="15.75">
      <c r="A22" s="144" t="s">
        <v>88</v>
      </c>
      <c r="B22" s="148"/>
      <c r="C22" s="149"/>
      <c r="D22" s="148"/>
      <c r="E22" s="149"/>
      <c r="F22" s="150"/>
    </row>
    <row r="23" spans="1:26">
      <c r="A23" s="49" t="s">
        <v>295</v>
      </c>
      <c r="B23" s="130">
        <v>-2657669483</v>
      </c>
      <c r="C23" s="131">
        <v>-2576915168</v>
      </c>
      <c r="D23" s="130">
        <v>-3167173807</v>
      </c>
      <c r="E23" s="131">
        <v>-2048539921</v>
      </c>
      <c r="F23" s="132">
        <v>-2042104801</v>
      </c>
    </row>
    <row r="24" spans="1:26">
      <c r="A24" s="49" t="s">
        <v>296</v>
      </c>
      <c r="B24" s="130">
        <v>66788805</v>
      </c>
      <c r="C24" s="131">
        <v>46769925</v>
      </c>
      <c r="D24" s="130">
        <v>49109965</v>
      </c>
      <c r="E24" s="131">
        <v>66594884</v>
      </c>
      <c r="F24" s="132">
        <v>60742370</v>
      </c>
    </row>
    <row r="25" spans="1:26" s="2" customFormat="1">
      <c r="A25" s="224" t="s">
        <v>262</v>
      </c>
      <c r="B25" s="130"/>
      <c r="C25" s="225"/>
      <c r="D25" s="130"/>
      <c r="E25" s="225"/>
      <c r="F25" s="226">
        <v>-774363</v>
      </c>
    </row>
    <row r="26" spans="1:26">
      <c r="A26" s="49" t="s">
        <v>297</v>
      </c>
      <c r="B26" s="130">
        <v>-80310552</v>
      </c>
      <c r="C26" s="131">
        <v>-569633173</v>
      </c>
      <c r="D26" s="130">
        <v>-1709234747</v>
      </c>
      <c r="E26" s="131">
        <v>116427551</v>
      </c>
      <c r="F26" s="132">
        <v>-2413257573</v>
      </c>
    </row>
    <row r="27" spans="1:26" s="2" customFormat="1">
      <c r="A27" s="224" t="s">
        <v>307</v>
      </c>
      <c r="B27" s="130"/>
      <c r="C27" s="225"/>
      <c r="D27" s="130"/>
      <c r="E27" s="225">
        <v>-209054502</v>
      </c>
      <c r="F27" s="226"/>
    </row>
    <row r="28" spans="1:26">
      <c r="A28" s="49" t="s">
        <v>260</v>
      </c>
      <c r="B28" s="130">
        <v>-1281324584</v>
      </c>
      <c r="C28" s="131">
        <v>2354849736</v>
      </c>
      <c r="D28" s="130">
        <v>-3110589073</v>
      </c>
      <c r="E28" s="225">
        <v>376808344</v>
      </c>
      <c r="F28" s="132">
        <v>-409767691</v>
      </c>
    </row>
    <row r="29" spans="1:26" s="2" customFormat="1">
      <c r="A29" s="224" t="s">
        <v>298</v>
      </c>
      <c r="B29" s="130">
        <v>10983571</v>
      </c>
      <c r="C29" s="225">
        <v>57295584</v>
      </c>
      <c r="D29" s="130">
        <v>291936032</v>
      </c>
      <c r="E29" s="225">
        <v>99860413</v>
      </c>
      <c r="F29" s="250">
        <v>-8120460</v>
      </c>
    </row>
    <row r="30" spans="1:26" s="2" customFormat="1">
      <c r="A30" s="224" t="s">
        <v>299</v>
      </c>
      <c r="B30" s="130">
        <v>253117331</v>
      </c>
      <c r="C30" s="225">
        <v>587461554</v>
      </c>
      <c r="D30" s="130">
        <v>955580148</v>
      </c>
      <c r="E30" s="225">
        <v>1407175500</v>
      </c>
      <c r="F30" s="250">
        <v>2712143496</v>
      </c>
    </row>
    <row r="31" spans="1:26" s="2" customFormat="1">
      <c r="A31" s="224" t="s">
        <v>300</v>
      </c>
      <c r="B31" s="130">
        <v>47172498</v>
      </c>
      <c r="C31" s="225">
        <v>295466575</v>
      </c>
      <c r="D31" s="130">
        <v>295896484</v>
      </c>
      <c r="E31" s="225">
        <v>360040347</v>
      </c>
      <c r="F31" s="250">
        <v>234546484</v>
      </c>
    </row>
    <row r="32" spans="1:26" ht="15.75">
      <c r="A32" s="50" t="s">
        <v>89</v>
      </c>
      <c r="B32" s="133">
        <f>SUM(B23:B31)</f>
        <v>-3641242414</v>
      </c>
      <c r="C32" s="133">
        <f>SUM(C23:C31)</f>
        <v>195295033</v>
      </c>
      <c r="D32" s="133">
        <f>SUM(D23:D31)</f>
        <v>-6394474998</v>
      </c>
      <c r="E32" s="133">
        <f>SUM(E23:E31)</f>
        <v>169312616</v>
      </c>
      <c r="F32" s="252">
        <f>SUM(F23:F31)</f>
        <v>-1866592538</v>
      </c>
      <c r="G32" s="1"/>
      <c r="H32" s="1"/>
      <c r="I32" s="1"/>
      <c r="J32" s="1"/>
      <c r="K32" s="1"/>
      <c r="L32" s="1"/>
      <c r="M32" s="1"/>
      <c r="N32" s="1"/>
      <c r="O32" s="1"/>
      <c r="P32" s="1"/>
      <c r="Q32" s="1"/>
      <c r="R32" s="1"/>
      <c r="S32" s="1"/>
      <c r="T32" s="1"/>
      <c r="U32" s="1"/>
      <c r="V32" s="1"/>
      <c r="W32" s="1"/>
      <c r="X32" s="1"/>
      <c r="Y32" s="1"/>
      <c r="Z32" s="1"/>
    </row>
    <row r="33" spans="1:26">
      <c r="A33" s="52"/>
      <c r="B33" s="53"/>
      <c r="C33" s="53"/>
      <c r="D33" s="53"/>
      <c r="E33" s="53"/>
      <c r="F33" s="253"/>
    </row>
    <row r="34" spans="1:26" ht="15.75">
      <c r="A34" s="144" t="s">
        <v>100</v>
      </c>
      <c r="B34" s="148"/>
      <c r="C34" s="149"/>
      <c r="D34" s="148"/>
      <c r="E34" s="149"/>
      <c r="F34" s="254"/>
    </row>
    <row r="35" spans="1:26">
      <c r="A35" s="49" t="s">
        <v>301</v>
      </c>
      <c r="B35" s="130">
        <v>-309810998</v>
      </c>
      <c r="C35" s="131"/>
      <c r="D35" s="130"/>
      <c r="E35" s="131"/>
      <c r="F35" s="250"/>
    </row>
    <row r="36" spans="1:26">
      <c r="A36" s="49" t="s">
        <v>302</v>
      </c>
      <c r="B36" s="130">
        <v>-2297884</v>
      </c>
      <c r="C36" s="131"/>
      <c r="D36" s="130"/>
      <c r="E36" s="131"/>
      <c r="F36" s="250"/>
    </row>
    <row r="37" spans="1:26" s="2" customFormat="1">
      <c r="A37" s="224" t="s">
        <v>303</v>
      </c>
      <c r="B37" s="130">
        <v>-1662897456</v>
      </c>
      <c r="C37" s="225">
        <v>-2494346184</v>
      </c>
      <c r="D37" s="130">
        <v>-2400808200</v>
      </c>
      <c r="E37" s="225">
        <v>-2654607924</v>
      </c>
      <c r="F37" s="250">
        <v>-3313835557</v>
      </c>
    </row>
    <row r="38" spans="1:26" ht="15.75">
      <c r="A38" s="50" t="s">
        <v>101</v>
      </c>
      <c r="B38" s="133">
        <f>SUM(B35:B37)</f>
        <v>-1975006338</v>
      </c>
      <c r="C38" s="133">
        <f>SUM(C35:C37)</f>
        <v>-2494346184</v>
      </c>
      <c r="D38" s="133">
        <f t="shared" ref="D38:F38" si="3">SUM(D35:D37)</f>
        <v>-2400808200</v>
      </c>
      <c r="E38" s="133">
        <f t="shared" si="3"/>
        <v>-2654607924</v>
      </c>
      <c r="F38" s="252">
        <f t="shared" si="3"/>
        <v>-3313835557</v>
      </c>
    </row>
    <row r="39" spans="1:26">
      <c r="A39" s="52"/>
      <c r="B39" s="53"/>
      <c r="C39" s="53"/>
      <c r="D39" s="53"/>
      <c r="E39" s="53"/>
      <c r="F39" s="253"/>
    </row>
    <row r="40" spans="1:26">
      <c r="A40" s="49" t="s">
        <v>304</v>
      </c>
      <c r="B40" s="130">
        <f>SUM(B20,B32,B38)</f>
        <v>3999032225</v>
      </c>
      <c r="C40" s="657">
        <f t="shared" ref="C40:F40" si="4">SUM(C20,C32,C38)</f>
        <v>7246128723</v>
      </c>
      <c r="D40" s="130">
        <v>1211728911</v>
      </c>
      <c r="E40" s="657">
        <f t="shared" si="4"/>
        <v>9906497963</v>
      </c>
      <c r="F40" s="250">
        <f t="shared" si="4"/>
        <v>5580343842</v>
      </c>
    </row>
    <row r="41" spans="1:26">
      <c r="A41" s="49" t="s">
        <v>305</v>
      </c>
      <c r="B41" s="130">
        <v>4523522906</v>
      </c>
      <c r="C41" s="131">
        <v>8522555131</v>
      </c>
      <c r="D41" s="130">
        <v>15768683854</v>
      </c>
      <c r="E41" s="131">
        <f>D43</f>
        <v>16980412765</v>
      </c>
      <c r="F41" s="250">
        <f>E43</f>
        <v>26886910728</v>
      </c>
    </row>
    <row r="42" spans="1:26">
      <c r="A42" s="140"/>
      <c r="B42" s="141"/>
      <c r="C42" s="142"/>
      <c r="D42" s="141"/>
      <c r="E42" s="142"/>
      <c r="F42" s="143"/>
    </row>
    <row r="43" spans="1:26" ht="15.75">
      <c r="A43" s="134" t="s">
        <v>102</v>
      </c>
      <c r="B43" s="135">
        <f>SUM(B40:B41)</f>
        <v>8522555131</v>
      </c>
      <c r="C43" s="135">
        <f t="shared" ref="C43:F43" si="5">SUM(C40:C41)</f>
        <v>15768683854</v>
      </c>
      <c r="D43" s="135">
        <f t="shared" si="5"/>
        <v>16980412765</v>
      </c>
      <c r="E43" s="135">
        <f t="shared" si="5"/>
        <v>26886910728</v>
      </c>
      <c r="F43" s="135">
        <f t="shared" si="5"/>
        <v>32467254570</v>
      </c>
    </row>
    <row r="44" spans="1:26">
      <c r="G44" s="1"/>
      <c r="H44" s="1"/>
      <c r="I44" s="1"/>
      <c r="J44" s="1"/>
      <c r="K44" s="1"/>
      <c r="L44" s="1"/>
      <c r="M44" s="1"/>
      <c r="N44" s="1"/>
      <c r="O44" s="1"/>
      <c r="P44" s="1"/>
      <c r="Q44" s="1"/>
      <c r="R44" s="1"/>
      <c r="S44" s="1"/>
      <c r="T44" s="1"/>
      <c r="U44" s="1"/>
      <c r="V44" s="1"/>
      <c r="W44" s="1"/>
      <c r="X44" s="1"/>
      <c r="Y44" s="1"/>
      <c r="Z44" s="1"/>
    </row>
    <row r="45" spans="1:26" ht="14.25" customHeight="1"/>
    <row r="46" spans="1:26" ht="14.25" customHeight="1"/>
    <row r="47" spans="1:26" ht="14.25" customHeight="1"/>
    <row r="48" spans="1:2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2">
    <mergeCell ref="A1:F1"/>
    <mergeCell ref="A2:F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9B82"/>
  </sheetPr>
  <dimension ref="A1:G1003"/>
  <sheetViews>
    <sheetView showGridLines="0" zoomScaleNormal="100" workbookViewId="0">
      <selection activeCell="G4" sqref="G4"/>
    </sheetView>
  </sheetViews>
  <sheetFormatPr defaultColWidth="12.625" defaultRowHeight="15" customHeight="1"/>
  <cols>
    <col min="1" max="1" width="41" style="37" customWidth="1"/>
    <col min="2" max="2" width="19.25" style="37" customWidth="1"/>
    <col min="3" max="3" width="16.5" style="37" customWidth="1"/>
    <col min="4" max="4" width="13.75" style="37" customWidth="1"/>
    <col min="5" max="5" width="14.75" style="37" customWidth="1"/>
    <col min="6" max="6" width="18.25" style="37" customWidth="1"/>
    <col min="7" max="7" width="25.625" style="37" customWidth="1"/>
    <col min="8" max="26" width="8.625" style="37" customWidth="1"/>
    <col min="27" max="16384" width="12.625" style="37"/>
  </cols>
  <sheetData>
    <row r="1" spans="1:6" ht="24" thickBot="1">
      <c r="A1" s="568" t="s">
        <v>250</v>
      </c>
      <c r="B1" s="569"/>
      <c r="C1" s="569"/>
      <c r="D1" s="569"/>
      <c r="E1" s="569"/>
      <c r="F1" s="570"/>
    </row>
    <row r="2" spans="1:6" ht="21" thickBot="1">
      <c r="A2" s="574" t="s">
        <v>109</v>
      </c>
      <c r="B2" s="575"/>
      <c r="C2" s="575"/>
      <c r="D2" s="575"/>
      <c r="E2" s="575"/>
      <c r="F2" s="576"/>
    </row>
    <row r="3" spans="1:6" ht="27.75" customHeight="1" thickBot="1">
      <c r="A3" s="201"/>
      <c r="B3" s="72" t="s">
        <v>1</v>
      </c>
      <c r="C3" s="72" t="s">
        <v>2</v>
      </c>
      <c r="D3" s="72" t="s">
        <v>3</v>
      </c>
      <c r="E3" s="72" t="s">
        <v>4</v>
      </c>
      <c r="F3" s="202" t="s">
        <v>5</v>
      </c>
    </row>
    <row r="4" spans="1:6" ht="14.25" customHeight="1">
      <c r="A4" s="203" t="s">
        <v>110</v>
      </c>
      <c r="B4" s="73"/>
      <c r="C4" s="73"/>
      <c r="D4" s="73"/>
      <c r="E4" s="73"/>
      <c r="F4" s="204"/>
    </row>
    <row r="5" spans="1:6" ht="14.25" customHeight="1">
      <c r="A5" s="205" t="s">
        <v>111</v>
      </c>
      <c r="B5" s="206">
        <f>'Income Statement'!B9/'Income Statement'!B7</f>
        <v>0.48350788172960957</v>
      </c>
      <c r="C5" s="206">
        <f>'Income Statement'!C9/'Income Statement'!C7</f>
        <v>0.49991000059134327</v>
      </c>
      <c r="D5" s="206">
        <f>'Income Statement'!D9/'Income Statement'!D7</f>
        <v>0.4933700204207237</v>
      </c>
      <c r="E5" s="206">
        <f>'Income Statement'!E9/'Income Statement'!E7</f>
        <v>0.49830658500625974</v>
      </c>
      <c r="F5" s="207">
        <f>'Income Statement'!F9/'Income Statement'!F7</f>
        <v>0.50875295430759515</v>
      </c>
    </row>
    <row r="6" spans="1:6" ht="14.25" customHeight="1">
      <c r="A6" s="205" t="s">
        <v>112</v>
      </c>
      <c r="B6" s="206">
        <f>'Income Statement'!B14/'Income Statement'!B7</f>
        <v>0.32627885729861056</v>
      </c>
      <c r="C6" s="206">
        <f>'Income Statement'!C14/'Income Statement'!C7</f>
        <v>0.33648078838690482</v>
      </c>
      <c r="D6" s="206">
        <f>'Income Statement'!D14/'Income Statement'!D7</f>
        <v>0.32231292843721332</v>
      </c>
      <c r="E6" s="206">
        <f>'Income Statement'!E14/'Income Statement'!E7</f>
        <v>0.32117379343717689</v>
      </c>
      <c r="F6" s="207">
        <f>'Income Statement'!F14/'Income Statement'!F7</f>
        <v>0.32108896680414706</v>
      </c>
    </row>
    <row r="7" spans="1:6" ht="14.25" customHeight="1">
      <c r="A7" s="205" t="s">
        <v>113</v>
      </c>
      <c r="B7" s="206">
        <f>'Income Statement'!B19/'Income Statement'!B7</f>
        <v>0.3296646480905655</v>
      </c>
      <c r="C7" s="206">
        <f>'Income Statement'!C19/'Income Statement'!C7</f>
        <v>0.34871285114077327</v>
      </c>
      <c r="D7" s="206">
        <f>'Income Statement'!D19/'Income Statement'!D7</f>
        <v>0.34922069792442489</v>
      </c>
      <c r="E7" s="206">
        <f>'Income Statement'!E19/'Income Statement'!E7</f>
        <v>0.35565740030287213</v>
      </c>
      <c r="F7" s="207">
        <f>'Income Statement'!F19/'Income Statement'!F7</f>
        <v>0.37050780854705517</v>
      </c>
    </row>
    <row r="8" spans="1:6" ht="14.25" customHeight="1">
      <c r="A8" s="208"/>
      <c r="B8" s="209"/>
      <c r="C8" s="209"/>
      <c r="D8" s="209"/>
      <c r="E8" s="209"/>
      <c r="F8" s="210"/>
    </row>
    <row r="9" spans="1:6" ht="14.25" customHeight="1">
      <c r="A9" s="211" t="s">
        <v>114</v>
      </c>
      <c r="B9" s="212"/>
      <c r="C9" s="212"/>
      <c r="D9" s="212"/>
      <c r="E9" s="212"/>
      <c r="F9" s="213"/>
    </row>
    <row r="10" spans="1:6" ht="14.25" customHeight="1">
      <c r="A10" s="205" t="s">
        <v>115</v>
      </c>
      <c r="B10" s="206">
        <f>'Income Statement'!B31/'Balance Sheet'!B21</f>
        <v>0.20765025378670121</v>
      </c>
      <c r="C10" s="206">
        <f>'Income Statement'!C31/'Balance Sheet'!C21</f>
        <v>0.20897291046000269</v>
      </c>
      <c r="D10" s="206">
        <f>'Income Statement'!D31/'Balance Sheet'!D21</f>
        <v>0.18281953649033034</v>
      </c>
      <c r="E10" s="206">
        <f>'Income Statement'!E31/'Balance Sheet'!E21</f>
        <v>0.17471191631823957</v>
      </c>
      <c r="F10" s="207">
        <f>'Income Statement'!F31/'Balance Sheet'!F21</f>
        <v>0.15569592070122365</v>
      </c>
    </row>
    <row r="11" spans="1:6" ht="14.25" customHeight="1">
      <c r="A11" s="205" t="s">
        <v>116</v>
      </c>
      <c r="B11" s="206">
        <f>'Income Statement'!B31/'Balance Sheet'!B32</f>
        <v>0.22684444363057357</v>
      </c>
      <c r="C11" s="206">
        <f>'Income Statement'!C31/'Balance Sheet'!C32</f>
        <v>0.22390540104838419</v>
      </c>
      <c r="D11" s="206">
        <f>'Income Statement'!D31/'Balance Sheet'!D32</f>
        <v>0.19374899538299428</v>
      </c>
      <c r="E11" s="206">
        <f>'Income Statement'!E31/'Balance Sheet'!E32</f>
        <v>0.18569034321036387</v>
      </c>
      <c r="F11" s="207">
        <f>'Income Statement'!F31/'Balance Sheet'!F32</f>
        <v>0.1647878304172779</v>
      </c>
    </row>
    <row r="12" spans="1:6" ht="14.25" customHeight="1">
      <c r="A12" s="214"/>
      <c r="B12" s="209"/>
      <c r="C12" s="209"/>
      <c r="D12" s="209"/>
      <c r="E12" s="209"/>
      <c r="F12" s="210"/>
    </row>
    <row r="13" spans="1:6" ht="14.25" customHeight="1">
      <c r="A13" s="211" t="s">
        <v>117</v>
      </c>
      <c r="B13" s="212"/>
      <c r="C13" s="212"/>
      <c r="D13" s="212"/>
      <c r="E13" s="212"/>
      <c r="F13" s="213"/>
    </row>
    <row r="14" spans="1:6" ht="14.25" customHeight="1">
      <c r="A14" s="205" t="s">
        <v>118</v>
      </c>
      <c r="B14" s="206">
        <f>('Balance Sheet'!B19-'Balance Sheet'!B15)/'Balance Sheet'!B45</f>
        <v>4.1977981212764295</v>
      </c>
      <c r="C14" s="206">
        <f>('Balance Sheet'!C19-'Balance Sheet'!C15)/'Balance Sheet'!C45</f>
        <v>6.0079490960812789</v>
      </c>
      <c r="D14" s="206">
        <f>('Balance Sheet'!D19-'Balance Sheet'!D15)/'Balance Sheet'!D45</f>
        <v>7.8174935104905527</v>
      </c>
      <c r="E14" s="206">
        <f>('Balance Sheet'!E19-'Balance Sheet'!E15)/'Balance Sheet'!E45</f>
        <v>8.6391705408835069</v>
      </c>
      <c r="F14" s="207">
        <f>('Balance Sheet'!F19-'Balance Sheet'!F15)/'Balance Sheet'!F45</f>
        <v>10.159720234868413</v>
      </c>
    </row>
    <row r="15" spans="1:6" ht="14.25" customHeight="1">
      <c r="A15" s="205" t="s">
        <v>119</v>
      </c>
      <c r="B15" s="206">
        <f>'Balance Sheet'!B18/'Balance Sheet'!B43</f>
        <v>3.1657440779839416</v>
      </c>
      <c r="C15" s="206">
        <f>'Balance Sheet'!C18/'Balance Sheet'!C43</f>
        <v>6.6775597925535779</v>
      </c>
      <c r="D15" s="206">
        <f>'Balance Sheet'!D18/'Balance Sheet'!D43</f>
        <v>7.716964628364571</v>
      </c>
      <c r="E15" s="206">
        <f>'Balance Sheet'!E18/'Balance Sheet'!E43</f>
        <v>9.0889378362242663</v>
      </c>
      <c r="F15" s="207">
        <f>'Balance Sheet'!F18/'Balance Sheet'!F43</f>
        <v>10.045919908582832</v>
      </c>
    </row>
    <row r="16" spans="1:6" ht="14.25" customHeight="1">
      <c r="A16" s="214"/>
      <c r="B16" s="209"/>
      <c r="C16" s="209"/>
      <c r="D16" s="209"/>
      <c r="E16" s="209"/>
      <c r="F16" s="210"/>
    </row>
    <row r="17" spans="1:7" ht="14.25" customHeight="1">
      <c r="A17" s="211" t="s">
        <v>120</v>
      </c>
      <c r="B17" s="212"/>
      <c r="C17" s="212"/>
      <c r="D17" s="212"/>
      <c r="E17" s="212"/>
      <c r="F17" s="213"/>
      <c r="G17" s="212"/>
    </row>
    <row r="18" spans="1:7" ht="14.25" customHeight="1">
      <c r="A18" s="205" t="s">
        <v>121</v>
      </c>
      <c r="B18" s="215"/>
      <c r="C18" s="206">
        <f>('Income Statement'!C40-'Income Statement'!B40)/'Income Statement'!B40</f>
        <v>0.19325413215573092</v>
      </c>
      <c r="D18" s="206">
        <f>('Income Statement'!D40-'Income Statement'!C40)/'Income Statement'!C40</f>
        <v>2.0435754524947291E-2</v>
      </c>
      <c r="E18" s="206">
        <f>('Income Statement'!E40-'Income Statement'!D40)/'Income Statement'!D40</f>
        <v>0.12523528527219521</v>
      </c>
      <c r="F18" s="207">
        <f>('Income Statement'!F40-'Income Statement'!E40)/'Income Statement'!E40</f>
        <v>1.0653676557862583E-2</v>
      </c>
    </row>
    <row r="19" spans="1:7" ht="14.25" customHeight="1">
      <c r="A19" s="205" t="s">
        <v>249</v>
      </c>
      <c r="B19" s="215"/>
      <c r="C19" s="206">
        <f>('Income Statement'!C14-'Income Statement'!B14)/'Income Statement'!B14</f>
        <v>0.13944567724634252</v>
      </c>
      <c r="D19" s="206">
        <f>('Income Statement'!D14-'Income Statement'!C14)/'Income Statement'!C14</f>
        <v>3.9433592946155727E-2</v>
      </c>
      <c r="E19" s="206">
        <f>('Income Statement'!E14-'Income Statement'!D14)/'Income Statement'!D14</f>
        <v>0.10652631818458572</v>
      </c>
      <c r="F19" s="207">
        <f>('Income Statement'!F14-'Income Statement'!E14)/'Income Statement'!E14</f>
        <v>4.157499080659427E-2</v>
      </c>
    </row>
    <row r="20" spans="1:7" ht="14.25" customHeight="1">
      <c r="A20" s="205" t="s">
        <v>122</v>
      </c>
      <c r="B20" s="206"/>
      <c r="C20" s="206">
        <f>('Income Statement'!C7-'Income Statement'!B7)/'Income Statement'!B7</f>
        <v>0.10489824785564757</v>
      </c>
      <c r="D20" s="206">
        <f>('Income Statement'!D7-'Income Statement'!C7)/'Income Statement'!C7</f>
        <v>8.5123815933082797E-2</v>
      </c>
      <c r="E20" s="206">
        <f>('Income Statement'!E7-'Income Statement'!D7)/'Income Statement'!D7</f>
        <v>0.11045093122357599</v>
      </c>
      <c r="F20" s="207">
        <f>('Income Statement'!F7-'Income Statement'!E7)/'Income Statement'!E7</f>
        <v>4.1850158466192167E-2</v>
      </c>
    </row>
    <row r="21" spans="1:7" ht="14.25" customHeight="1">
      <c r="A21" s="205" t="s">
        <v>123</v>
      </c>
      <c r="B21" s="215"/>
      <c r="C21" s="206">
        <f>('Income Statement'!C42-'Income Statement'!B42)/'Income Statement'!B42</f>
        <v>0.15659955257270691</v>
      </c>
      <c r="D21" s="206">
        <f>('Income Statement'!D42-'Income Statement'!C42)/'Income Statement'!C42</f>
        <v>1.3539651837524234E-2</v>
      </c>
      <c r="E21" s="206">
        <f>('Income Statement'!E42-'Income Statement'!D42)/'Income Statement'!D42</f>
        <v>1.9720101781170514E-2</v>
      </c>
      <c r="F21" s="207">
        <f>('Income Statement'!F42-'Income Statement'!E42)/'Income Statement'!E42</f>
        <v>-1.3100436681222761E-2</v>
      </c>
    </row>
    <row r="22" spans="1:7" ht="14.25" customHeight="1">
      <c r="A22" s="205" t="s">
        <v>124</v>
      </c>
      <c r="B22" s="215"/>
      <c r="C22" s="206">
        <f>(C28-B28)/B28</f>
        <v>0.5</v>
      </c>
      <c r="D22" s="206">
        <f t="shared" ref="D22:F22" si="0">(D28-C28)/C28</f>
        <v>-3.750000084190399E-2</v>
      </c>
      <c r="E22" s="206">
        <f t="shared" si="0"/>
        <v>0.10571428571428572</v>
      </c>
      <c r="F22" s="207">
        <f t="shared" si="0"/>
        <v>0.24833333278334627</v>
      </c>
    </row>
    <row r="23" spans="1:7" ht="14.25" customHeight="1">
      <c r="A23" s="208"/>
      <c r="B23" s="209"/>
      <c r="C23" s="216"/>
      <c r="D23" s="216"/>
      <c r="E23" s="216"/>
      <c r="F23" s="217"/>
    </row>
    <row r="24" spans="1:7" ht="14.25" customHeight="1">
      <c r="A24" s="211" t="s">
        <v>125</v>
      </c>
      <c r="B24" s="212"/>
      <c r="C24" s="212"/>
      <c r="D24" s="212"/>
      <c r="E24" s="212"/>
      <c r="F24" s="213"/>
      <c r="G24" s="38"/>
    </row>
    <row r="25" spans="1:7" ht="14.25" customHeight="1">
      <c r="A25" s="205" t="s">
        <v>126</v>
      </c>
      <c r="B25" s="215"/>
      <c r="C25" s="206">
        <f>('Cashflow Statement'!C20-'Cashflow Statement'!B20)/'Cashflow Statement'!B20</f>
        <v>-7.2905932928724231E-3</v>
      </c>
      <c r="D25" s="206">
        <f>('Cashflow Statement'!D20-'Cashflow Statement'!C20)/'Cashflow Statement'!C20</f>
        <v>4.838381686844679E-2</v>
      </c>
      <c r="E25" s="206">
        <f>('Cashflow Statement'!E20-'Cashflow Statement'!D20)/'Cashflow Statement'!D20</f>
        <v>0.23831100992225251</v>
      </c>
      <c r="F25" s="206">
        <f>('Cashflow Statement'!F20-'Cashflow Statement'!E20)/'Cashflow Statement'!E20</f>
        <v>-0.13162108972694142</v>
      </c>
    </row>
    <row r="26" spans="1:7" ht="14.25" customHeight="1">
      <c r="A26" s="214"/>
      <c r="B26" s="209"/>
      <c r="C26" s="209"/>
      <c r="D26" s="209"/>
      <c r="E26" s="209"/>
      <c r="F26" s="210"/>
    </row>
    <row r="27" spans="1:7" ht="14.25" customHeight="1">
      <c r="A27" s="218" t="s">
        <v>127</v>
      </c>
      <c r="B27" s="212"/>
      <c r="C27" s="212"/>
      <c r="D27" s="212"/>
      <c r="E27" s="212"/>
      <c r="F27" s="213"/>
    </row>
    <row r="28" spans="1:7" ht="14.25" customHeight="1">
      <c r="A28" s="205" t="s">
        <v>128</v>
      </c>
      <c r="B28" s="219">
        <f>-'Cashflow Statement'!B37</f>
        <v>1662897456</v>
      </c>
      <c r="C28" s="219">
        <f>-'Cashflow Statement'!C37</f>
        <v>2494346184</v>
      </c>
      <c r="D28" s="219">
        <f>-'Cashflow Statement'!D37</f>
        <v>2400808200</v>
      </c>
      <c r="E28" s="219">
        <f>-'Cashflow Statement'!E37</f>
        <v>2654607924</v>
      </c>
      <c r="F28" s="220">
        <f>-'Cashflow Statement'!F37</f>
        <v>3313835557</v>
      </c>
    </row>
    <row r="29" spans="1:7" ht="14.25" customHeight="1">
      <c r="A29" s="205" t="s">
        <v>129</v>
      </c>
      <c r="B29" s="206">
        <f>'Relative Valuation'!B28/'Income Statement'!B40</f>
        <v>0.18075583440077975</v>
      </c>
      <c r="C29" s="206">
        <f>'Relative Valuation'!C28/'Income Statement'!C40</f>
        <v>0.22722213507975861</v>
      </c>
      <c r="D29" s="206">
        <f>'Relative Valuation'!D28/'Income Statement'!D40</f>
        <v>0.21432148359480255</v>
      </c>
      <c r="E29" s="206">
        <f>'Relative Valuation'!E28/'Income Statement'!E40</f>
        <v>0.21060335491428164</v>
      </c>
      <c r="F29" s="207">
        <f>'Relative Valuation'!F28/'Income Statement'!F40</f>
        <v>0.26013182758203446</v>
      </c>
    </row>
    <row r="30" spans="1:7" ht="14.25" customHeight="1" thickBot="1">
      <c r="A30" s="221"/>
      <c r="B30" s="222"/>
      <c r="C30" s="222"/>
      <c r="D30" s="222"/>
      <c r="E30" s="222"/>
      <c r="F30" s="223"/>
    </row>
    <row r="31" spans="1:7" ht="14.25" customHeight="1">
      <c r="A31" s="39"/>
      <c r="B31" s="39"/>
      <c r="C31" s="39"/>
      <c r="D31" s="39"/>
      <c r="E31" s="39"/>
      <c r="F31" s="39"/>
      <c r="G31" s="39" t="str">
        <f t="shared" ref="G31:G35" si="1">IF(ISBLANK(F31), "", AVERAGE(B31:F31))</f>
        <v/>
      </c>
    </row>
    <row r="32" spans="1:7" ht="14.25" customHeight="1">
      <c r="A32" s="39"/>
      <c r="B32" s="39"/>
      <c r="C32" s="39"/>
      <c r="D32" s="39"/>
      <c r="E32" s="39"/>
      <c r="F32" s="39"/>
      <c r="G32" s="39" t="str">
        <f t="shared" si="1"/>
        <v/>
      </c>
    </row>
    <row r="33" spans="1:7" ht="14.25" customHeight="1">
      <c r="A33" s="39"/>
      <c r="B33" s="39"/>
      <c r="C33" s="39"/>
      <c r="D33" s="39"/>
      <c r="E33" s="39"/>
      <c r="F33" s="39"/>
      <c r="G33" s="39" t="str">
        <f t="shared" si="1"/>
        <v/>
      </c>
    </row>
    <row r="34" spans="1:7" ht="14.25" customHeight="1">
      <c r="A34" s="39"/>
      <c r="B34" s="39"/>
      <c r="C34" s="39"/>
      <c r="D34" s="39"/>
      <c r="E34" s="39"/>
      <c r="F34" s="39"/>
      <c r="G34" s="39" t="str">
        <f t="shared" si="1"/>
        <v/>
      </c>
    </row>
    <row r="35" spans="1:7" ht="14.25" customHeight="1">
      <c r="A35" s="39"/>
      <c r="B35" s="39"/>
      <c r="C35" s="39"/>
      <c r="D35" s="39"/>
      <c r="E35" s="39"/>
      <c r="F35" s="39"/>
      <c r="G35" s="39" t="str">
        <f t="shared" si="1"/>
        <v/>
      </c>
    </row>
    <row r="36" spans="1:7" ht="14.25" customHeight="1">
      <c r="A36" s="39"/>
      <c r="B36" s="39"/>
      <c r="C36" s="39"/>
      <c r="D36" s="39"/>
      <c r="E36" s="39"/>
      <c r="F36" s="39"/>
    </row>
    <row r="37" spans="1:7" ht="14.25" customHeight="1">
      <c r="A37" s="39"/>
      <c r="B37" s="39"/>
      <c r="C37" s="39"/>
      <c r="D37" s="39"/>
      <c r="E37" s="39"/>
      <c r="F37" s="39"/>
    </row>
    <row r="38" spans="1:7" ht="14.25" customHeight="1">
      <c r="A38" s="39"/>
      <c r="B38" s="39"/>
      <c r="C38" s="39"/>
      <c r="D38" s="39"/>
      <c r="E38" s="39"/>
      <c r="F38" s="39"/>
    </row>
    <row r="39" spans="1:7" ht="14.25" customHeight="1">
      <c r="A39" s="39"/>
      <c r="B39" s="39"/>
      <c r="C39" s="39"/>
      <c r="D39" s="39"/>
      <c r="E39" s="39"/>
      <c r="F39" s="39"/>
    </row>
    <row r="40" spans="1:7" ht="14.25" customHeight="1">
      <c r="A40" s="39"/>
      <c r="B40" s="39"/>
      <c r="C40" s="39"/>
      <c r="D40" s="39"/>
      <c r="E40" s="39"/>
      <c r="F40" s="39"/>
    </row>
    <row r="41" spans="1:7" ht="14.25" customHeight="1">
      <c r="A41" s="39"/>
      <c r="B41" s="39"/>
      <c r="C41" s="39"/>
      <c r="D41" s="39"/>
      <c r="E41" s="39"/>
      <c r="F41" s="39"/>
    </row>
    <row r="42" spans="1:7" ht="14.25" customHeight="1">
      <c r="A42" s="39"/>
      <c r="B42" s="39"/>
      <c r="C42" s="39"/>
      <c r="D42" s="39"/>
      <c r="E42" s="39"/>
      <c r="F42" s="39"/>
    </row>
    <row r="43" spans="1:7" ht="14.25" customHeight="1">
      <c r="A43" s="39"/>
      <c r="B43" s="39"/>
      <c r="C43" s="39"/>
      <c r="D43" s="39"/>
      <c r="E43" s="39"/>
      <c r="F43" s="39"/>
    </row>
    <row r="44" spans="1:7" ht="14.25" customHeight="1">
      <c r="A44" s="39"/>
      <c r="B44" s="39"/>
      <c r="C44" s="39"/>
      <c r="D44" s="39"/>
      <c r="E44" s="39"/>
      <c r="F44" s="39"/>
    </row>
    <row r="45" spans="1:7" ht="14.25" customHeight="1">
      <c r="A45" s="39"/>
      <c r="B45" s="39"/>
      <c r="C45" s="39"/>
      <c r="D45" s="39"/>
      <c r="E45" s="39"/>
      <c r="F45" s="39"/>
    </row>
    <row r="46" spans="1:7" ht="14.25" customHeight="1">
      <c r="A46" s="39"/>
      <c r="B46" s="39"/>
      <c r="C46" s="39"/>
      <c r="D46" s="39"/>
      <c r="E46" s="39"/>
      <c r="F46" s="39"/>
    </row>
    <row r="47" spans="1:7" ht="14.25" customHeight="1">
      <c r="A47" s="39"/>
      <c r="B47" s="39"/>
      <c r="C47" s="39"/>
      <c r="D47" s="39"/>
      <c r="E47" s="39"/>
      <c r="F47" s="39"/>
    </row>
    <row r="48" spans="1:7" ht="14.25" customHeight="1">
      <c r="A48" s="39"/>
      <c r="B48" s="39"/>
      <c r="C48" s="39"/>
      <c r="D48" s="39"/>
      <c r="E48" s="39"/>
      <c r="F48" s="39"/>
    </row>
    <row r="49" spans="1:6" ht="14.25" customHeight="1">
      <c r="A49" s="39"/>
      <c r="B49" s="39"/>
      <c r="C49" s="39"/>
      <c r="D49" s="39"/>
      <c r="E49" s="39"/>
      <c r="F49" s="39"/>
    </row>
    <row r="50" spans="1:6" ht="14.25" customHeight="1">
      <c r="A50" s="39"/>
      <c r="B50" s="39"/>
      <c r="C50" s="39"/>
      <c r="D50" s="39"/>
      <c r="E50" s="39"/>
      <c r="F50" s="39"/>
    </row>
    <row r="51" spans="1:6" ht="14.25" customHeight="1">
      <c r="A51" s="39"/>
      <c r="B51" s="39"/>
      <c r="C51" s="39"/>
      <c r="D51" s="39"/>
      <c r="E51" s="39"/>
      <c r="F51" s="39"/>
    </row>
    <row r="52" spans="1:6" ht="14.25" customHeight="1">
      <c r="A52" s="39"/>
      <c r="B52" s="39"/>
      <c r="C52" s="39"/>
      <c r="D52" s="39"/>
      <c r="E52" s="39"/>
      <c r="F52" s="39"/>
    </row>
    <row r="53" spans="1:6" ht="14.25" customHeight="1">
      <c r="A53" s="39"/>
      <c r="B53" s="39"/>
      <c r="C53" s="39"/>
      <c r="D53" s="39"/>
      <c r="E53" s="39"/>
      <c r="F53" s="39"/>
    </row>
    <row r="54" spans="1:6" ht="14.25" customHeight="1">
      <c r="A54" s="39"/>
      <c r="B54" s="39"/>
      <c r="C54" s="39"/>
      <c r="D54" s="39"/>
      <c r="E54" s="39"/>
      <c r="F54" s="39"/>
    </row>
    <row r="55" spans="1:6" ht="14.25" customHeight="1">
      <c r="A55" s="39"/>
      <c r="B55" s="39"/>
      <c r="C55" s="39"/>
      <c r="D55" s="39"/>
      <c r="E55" s="39"/>
      <c r="F55" s="39"/>
    </row>
    <row r="56" spans="1:6" ht="14.25" customHeight="1">
      <c r="A56" s="39"/>
      <c r="B56" s="39"/>
      <c r="C56" s="39"/>
      <c r="D56" s="39"/>
      <c r="E56" s="39"/>
      <c r="F56" s="39"/>
    </row>
    <row r="57" spans="1:6" ht="14.25" customHeight="1">
      <c r="A57" s="39"/>
      <c r="B57" s="39"/>
      <c r="C57" s="39"/>
      <c r="D57" s="39"/>
      <c r="E57" s="39"/>
      <c r="F57" s="39"/>
    </row>
    <row r="58" spans="1:6" ht="14.25" customHeight="1">
      <c r="A58" s="39"/>
      <c r="B58" s="39"/>
      <c r="C58" s="39"/>
      <c r="D58" s="39"/>
      <c r="E58" s="39"/>
      <c r="F58" s="39"/>
    </row>
    <row r="59" spans="1:6" ht="14.25" customHeight="1">
      <c r="A59" s="39"/>
      <c r="B59" s="39"/>
      <c r="C59" s="39"/>
      <c r="D59" s="39"/>
      <c r="E59" s="39"/>
      <c r="F59" s="39"/>
    </row>
    <row r="60" spans="1:6" ht="14.25" customHeight="1">
      <c r="B60" s="39"/>
      <c r="C60" s="39"/>
      <c r="D60" s="39"/>
      <c r="E60" s="39"/>
      <c r="F60" s="39"/>
    </row>
    <row r="61" spans="1:6" ht="14.25" customHeight="1">
      <c r="B61" s="39"/>
      <c r="C61" s="39"/>
      <c r="D61" s="39"/>
      <c r="E61" s="39"/>
      <c r="F61" s="39"/>
    </row>
    <row r="62" spans="1:6" ht="14.25" customHeight="1">
      <c r="B62" s="39"/>
      <c r="C62" s="39"/>
      <c r="D62" s="39"/>
      <c r="E62" s="39"/>
      <c r="F62" s="39"/>
    </row>
    <row r="63" spans="1:6" ht="14.25" customHeight="1">
      <c r="B63" s="39"/>
      <c r="C63" s="39"/>
      <c r="D63" s="39"/>
      <c r="E63" s="39"/>
      <c r="F63" s="39"/>
    </row>
    <row r="64" spans="1:6" ht="14.25" customHeight="1">
      <c r="B64" s="39"/>
      <c r="C64" s="39"/>
      <c r="D64" s="39"/>
      <c r="E64" s="39"/>
      <c r="F64" s="39"/>
    </row>
    <row r="65" spans="2:6" ht="14.25" customHeight="1">
      <c r="B65" s="39"/>
      <c r="C65" s="39"/>
      <c r="D65" s="39"/>
      <c r="E65" s="39"/>
      <c r="F65" s="39"/>
    </row>
    <row r="66" spans="2:6" ht="14.25" customHeight="1">
      <c r="B66" s="39"/>
      <c r="C66" s="39"/>
      <c r="D66" s="39"/>
      <c r="E66" s="39"/>
      <c r="F66" s="39"/>
    </row>
    <row r="67" spans="2:6" ht="14.25" customHeight="1">
      <c r="B67" s="39"/>
      <c r="C67" s="39"/>
      <c r="D67" s="39"/>
      <c r="E67" s="39"/>
      <c r="F67" s="39"/>
    </row>
    <row r="68" spans="2:6" ht="14.25" customHeight="1">
      <c r="B68" s="39"/>
      <c r="C68" s="39"/>
      <c r="D68" s="39"/>
      <c r="E68" s="39"/>
      <c r="F68" s="39"/>
    </row>
    <row r="69" spans="2:6" ht="14.25" customHeight="1">
      <c r="B69" s="39"/>
      <c r="C69" s="39"/>
      <c r="D69" s="39"/>
      <c r="E69" s="39"/>
      <c r="F69" s="39"/>
    </row>
    <row r="70" spans="2:6" ht="14.25" customHeight="1">
      <c r="B70" s="39"/>
      <c r="C70" s="39"/>
      <c r="D70" s="39"/>
      <c r="E70" s="39"/>
      <c r="F70" s="39"/>
    </row>
    <row r="71" spans="2:6" ht="14.25" customHeight="1">
      <c r="B71" s="39"/>
      <c r="C71" s="39"/>
      <c r="D71" s="39"/>
      <c r="E71" s="39"/>
      <c r="F71" s="39"/>
    </row>
    <row r="72" spans="2:6" ht="14.25" customHeight="1">
      <c r="B72" s="39"/>
      <c r="C72" s="39"/>
      <c r="D72" s="39"/>
      <c r="E72" s="39"/>
      <c r="F72" s="39"/>
    </row>
    <row r="73" spans="2:6" ht="14.25" customHeight="1">
      <c r="B73" s="39"/>
      <c r="C73" s="39"/>
      <c r="D73" s="39"/>
      <c r="E73" s="39"/>
      <c r="F73" s="39"/>
    </row>
    <row r="74" spans="2:6" ht="14.25" customHeight="1">
      <c r="B74" s="39"/>
      <c r="C74" s="39"/>
      <c r="D74" s="39"/>
      <c r="E74" s="39"/>
      <c r="F74" s="39"/>
    </row>
    <row r="75" spans="2:6" ht="14.25" customHeight="1">
      <c r="B75" s="39"/>
      <c r="C75" s="39"/>
      <c r="D75" s="39"/>
      <c r="E75" s="39"/>
      <c r="F75" s="39"/>
    </row>
    <row r="76" spans="2:6" ht="14.25" customHeight="1">
      <c r="B76" s="39"/>
      <c r="C76" s="39"/>
      <c r="D76" s="39"/>
      <c r="E76" s="39"/>
      <c r="F76" s="39"/>
    </row>
    <row r="77" spans="2:6" ht="14.25" customHeight="1">
      <c r="B77" s="39"/>
      <c r="C77" s="39"/>
      <c r="D77" s="39"/>
      <c r="E77" s="39"/>
      <c r="F77" s="39"/>
    </row>
    <row r="78" spans="2:6" ht="14.25" customHeight="1">
      <c r="B78" s="39"/>
      <c r="C78" s="39"/>
      <c r="D78" s="39"/>
      <c r="E78" s="39"/>
      <c r="F78" s="39"/>
    </row>
    <row r="79" spans="2:6" ht="14.25" customHeight="1">
      <c r="B79" s="39"/>
      <c r="C79" s="39"/>
      <c r="D79" s="39"/>
      <c r="E79" s="39"/>
      <c r="F79" s="39"/>
    </row>
    <row r="80" spans="2:6" ht="14.25" customHeight="1">
      <c r="B80" s="39"/>
      <c r="C80" s="39"/>
      <c r="D80" s="39"/>
      <c r="E80" s="39"/>
      <c r="F80" s="39"/>
    </row>
    <row r="81" spans="2:6" ht="14.25" customHeight="1">
      <c r="B81" s="39"/>
      <c r="C81" s="39"/>
      <c r="D81" s="39"/>
      <c r="E81" s="39"/>
      <c r="F81" s="39"/>
    </row>
    <row r="82" spans="2:6" ht="14.25" customHeight="1">
      <c r="B82" s="39"/>
      <c r="C82" s="39"/>
      <c r="D82" s="39"/>
      <c r="E82" s="39"/>
      <c r="F82" s="39"/>
    </row>
    <row r="83" spans="2:6" ht="14.25" customHeight="1">
      <c r="B83" s="39"/>
      <c r="C83" s="39"/>
      <c r="D83" s="39"/>
      <c r="E83" s="39"/>
      <c r="F83" s="39"/>
    </row>
    <row r="84" spans="2:6" ht="14.25" customHeight="1">
      <c r="B84" s="39"/>
      <c r="C84" s="39"/>
      <c r="D84" s="39"/>
      <c r="E84" s="39"/>
      <c r="F84" s="39"/>
    </row>
    <row r="85" spans="2:6" ht="14.25" customHeight="1">
      <c r="B85" s="39"/>
      <c r="C85" s="39"/>
      <c r="D85" s="39"/>
      <c r="E85" s="39"/>
      <c r="F85" s="39"/>
    </row>
    <row r="86" spans="2:6" ht="14.25" customHeight="1">
      <c r="B86" s="39"/>
      <c r="C86" s="39"/>
      <c r="D86" s="39"/>
      <c r="E86" s="39"/>
      <c r="F86" s="39"/>
    </row>
    <row r="87" spans="2:6" ht="14.25" customHeight="1">
      <c r="B87" s="39"/>
      <c r="C87" s="39"/>
      <c r="D87" s="39"/>
      <c r="E87" s="39"/>
      <c r="F87" s="39"/>
    </row>
    <row r="88" spans="2:6" ht="14.25" customHeight="1">
      <c r="B88" s="39"/>
      <c r="C88" s="39"/>
      <c r="D88" s="39"/>
      <c r="E88" s="39"/>
      <c r="F88" s="39"/>
    </row>
    <row r="89" spans="2:6" ht="14.25" customHeight="1">
      <c r="B89" s="39"/>
      <c r="C89" s="39"/>
      <c r="D89" s="39"/>
      <c r="E89" s="39"/>
      <c r="F89" s="39"/>
    </row>
    <row r="90" spans="2:6" ht="14.25" customHeight="1">
      <c r="B90" s="39"/>
      <c r="C90" s="39"/>
      <c r="D90" s="39"/>
      <c r="E90" s="39"/>
      <c r="F90" s="39"/>
    </row>
    <row r="91" spans="2:6" ht="14.25" customHeight="1">
      <c r="B91" s="39"/>
      <c r="C91" s="39"/>
      <c r="D91" s="39"/>
      <c r="E91" s="39"/>
      <c r="F91" s="39"/>
    </row>
    <row r="92" spans="2:6" ht="14.25" customHeight="1">
      <c r="B92" s="39"/>
      <c r="C92" s="39"/>
      <c r="D92" s="39"/>
      <c r="E92" s="39"/>
      <c r="F92" s="39"/>
    </row>
    <row r="93" spans="2:6" ht="14.25" customHeight="1">
      <c r="B93" s="39"/>
      <c r="C93" s="39"/>
      <c r="D93" s="39"/>
      <c r="E93" s="39"/>
      <c r="F93" s="39"/>
    </row>
    <row r="94" spans="2:6" ht="14.25" customHeight="1">
      <c r="B94" s="39"/>
      <c r="C94" s="39"/>
      <c r="D94" s="39"/>
      <c r="E94" s="39"/>
      <c r="F94" s="39"/>
    </row>
    <row r="95" spans="2:6" ht="14.25" customHeight="1">
      <c r="B95" s="39"/>
      <c r="C95" s="39"/>
      <c r="D95" s="39"/>
      <c r="E95" s="39"/>
      <c r="F95" s="39"/>
    </row>
    <row r="96" spans="2:6" ht="14.25" customHeight="1">
      <c r="B96" s="39"/>
      <c r="C96" s="39"/>
      <c r="D96" s="39"/>
      <c r="E96" s="39"/>
      <c r="F96" s="39"/>
    </row>
    <row r="97" spans="2:6" ht="14.25" customHeight="1">
      <c r="B97" s="39"/>
      <c r="C97" s="39"/>
      <c r="D97" s="39"/>
      <c r="E97" s="39"/>
      <c r="F97" s="39"/>
    </row>
    <row r="98" spans="2:6" ht="14.25" customHeight="1">
      <c r="B98" s="39"/>
      <c r="C98" s="39"/>
      <c r="D98" s="39"/>
      <c r="E98" s="39"/>
      <c r="F98" s="39"/>
    </row>
    <row r="99" spans="2:6" ht="14.25" customHeight="1">
      <c r="B99" s="39"/>
      <c r="C99" s="39"/>
      <c r="D99" s="39"/>
      <c r="E99" s="39"/>
      <c r="F99" s="39"/>
    </row>
    <row r="100" spans="2:6" ht="14.25" customHeight="1">
      <c r="B100" s="39"/>
      <c r="C100" s="39"/>
      <c r="D100" s="39"/>
      <c r="E100" s="39"/>
      <c r="F100" s="39"/>
    </row>
    <row r="101" spans="2:6" ht="14.25" customHeight="1">
      <c r="B101" s="39"/>
      <c r="C101" s="39"/>
      <c r="D101" s="39"/>
      <c r="E101" s="39"/>
      <c r="F101" s="39"/>
    </row>
    <row r="102" spans="2:6" ht="14.25" customHeight="1">
      <c r="B102" s="39"/>
      <c r="C102" s="39"/>
      <c r="D102" s="39"/>
      <c r="E102" s="39"/>
      <c r="F102" s="39"/>
    </row>
    <row r="103" spans="2:6" ht="14.25" customHeight="1">
      <c r="B103" s="39"/>
      <c r="C103" s="39"/>
      <c r="D103" s="39"/>
      <c r="E103" s="39"/>
      <c r="F103" s="39"/>
    </row>
    <row r="104" spans="2:6" ht="14.25" customHeight="1">
      <c r="B104" s="39"/>
      <c r="C104" s="39"/>
      <c r="D104" s="39"/>
      <c r="E104" s="39"/>
      <c r="F104" s="39"/>
    </row>
    <row r="105" spans="2:6" ht="14.25" customHeight="1">
      <c r="B105" s="39"/>
      <c r="C105" s="39"/>
      <c r="D105" s="39"/>
      <c r="E105" s="39"/>
      <c r="F105" s="39"/>
    </row>
    <row r="106" spans="2:6" ht="14.25" customHeight="1">
      <c r="B106" s="39"/>
      <c r="C106" s="39"/>
      <c r="D106" s="39"/>
      <c r="E106" s="39"/>
      <c r="F106" s="39"/>
    </row>
    <row r="107" spans="2:6" ht="14.25" customHeight="1">
      <c r="B107" s="39"/>
      <c r="C107" s="39"/>
      <c r="D107" s="39"/>
      <c r="E107" s="39"/>
      <c r="F107" s="39"/>
    </row>
    <row r="108" spans="2:6" ht="14.25" customHeight="1">
      <c r="B108" s="39"/>
      <c r="C108" s="39"/>
      <c r="D108" s="39"/>
      <c r="E108" s="39"/>
      <c r="F108" s="39"/>
    </row>
    <row r="109" spans="2:6" ht="14.25" customHeight="1">
      <c r="B109" s="39"/>
      <c r="C109" s="39"/>
      <c r="D109" s="39"/>
      <c r="E109" s="39"/>
      <c r="F109" s="39"/>
    </row>
    <row r="110" spans="2:6" ht="14.25" customHeight="1">
      <c r="B110" s="39"/>
      <c r="C110" s="39"/>
      <c r="D110" s="39"/>
      <c r="E110" s="39"/>
      <c r="F110" s="39"/>
    </row>
    <row r="111" spans="2:6" ht="14.25" customHeight="1">
      <c r="B111" s="39"/>
      <c r="C111" s="39"/>
      <c r="D111" s="39"/>
      <c r="E111" s="39"/>
      <c r="F111" s="39"/>
    </row>
    <row r="112" spans="2:6" ht="14.25" customHeight="1">
      <c r="B112" s="39"/>
      <c r="C112" s="39"/>
      <c r="D112" s="39"/>
      <c r="E112" s="39"/>
      <c r="F112" s="39"/>
    </row>
    <row r="113" spans="2:6" ht="14.25" customHeight="1">
      <c r="B113" s="39"/>
      <c r="C113" s="39"/>
      <c r="D113" s="39"/>
      <c r="E113" s="39"/>
      <c r="F113" s="39"/>
    </row>
    <row r="114" spans="2:6" ht="14.25" customHeight="1">
      <c r="B114" s="39"/>
      <c r="C114" s="39"/>
      <c r="D114" s="39"/>
      <c r="E114" s="39"/>
      <c r="F114" s="39"/>
    </row>
    <row r="115" spans="2:6" ht="14.25" customHeight="1">
      <c r="B115" s="39"/>
      <c r="C115" s="39"/>
      <c r="D115" s="39"/>
      <c r="E115" s="39"/>
      <c r="F115" s="39"/>
    </row>
    <row r="116" spans="2:6" ht="14.25" customHeight="1">
      <c r="B116" s="39"/>
      <c r="C116" s="39"/>
      <c r="D116" s="39"/>
      <c r="E116" s="39"/>
      <c r="F116" s="39"/>
    </row>
    <row r="117" spans="2:6" ht="14.25" customHeight="1">
      <c r="B117" s="39"/>
      <c r="C117" s="39"/>
      <c r="D117" s="39"/>
      <c r="E117" s="39"/>
      <c r="F117" s="39"/>
    </row>
    <row r="118" spans="2:6" ht="14.25" customHeight="1">
      <c r="B118" s="39"/>
      <c r="C118" s="39"/>
      <c r="D118" s="39"/>
      <c r="E118" s="39"/>
      <c r="F118" s="39"/>
    </row>
    <row r="119" spans="2:6" ht="14.25" customHeight="1">
      <c r="B119" s="39"/>
      <c r="C119" s="39"/>
      <c r="D119" s="39"/>
      <c r="E119" s="39"/>
      <c r="F119" s="39"/>
    </row>
    <row r="120" spans="2:6" ht="14.25" customHeight="1">
      <c r="B120" s="39"/>
      <c r="C120" s="39"/>
      <c r="D120" s="39"/>
      <c r="E120" s="39"/>
      <c r="F120" s="39"/>
    </row>
    <row r="121" spans="2:6" ht="14.25" customHeight="1">
      <c r="B121" s="39"/>
      <c r="C121" s="39"/>
      <c r="D121" s="39"/>
      <c r="E121" s="39"/>
      <c r="F121" s="39"/>
    </row>
    <row r="122" spans="2:6" ht="14.25" customHeight="1">
      <c r="B122" s="39"/>
      <c r="C122" s="39"/>
      <c r="D122" s="39"/>
      <c r="E122" s="39"/>
      <c r="F122" s="39"/>
    </row>
    <row r="123" spans="2:6" ht="14.25" customHeight="1">
      <c r="B123" s="39"/>
      <c r="C123" s="39"/>
      <c r="D123" s="39"/>
      <c r="E123" s="39"/>
      <c r="F123" s="39"/>
    </row>
    <row r="124" spans="2:6" ht="14.25" customHeight="1">
      <c r="B124" s="39"/>
      <c r="C124" s="39"/>
      <c r="D124" s="39"/>
      <c r="E124" s="39"/>
      <c r="F124" s="39"/>
    </row>
    <row r="125" spans="2:6" ht="14.25" customHeight="1">
      <c r="B125" s="39"/>
      <c r="C125" s="39"/>
      <c r="D125" s="39"/>
      <c r="E125" s="39"/>
      <c r="F125" s="39"/>
    </row>
    <row r="126" spans="2:6" ht="14.25" customHeight="1">
      <c r="B126" s="39"/>
      <c r="C126" s="39"/>
      <c r="D126" s="39"/>
      <c r="E126" s="39"/>
      <c r="F126" s="39"/>
    </row>
    <row r="127" spans="2:6" ht="14.25" customHeight="1">
      <c r="B127" s="39"/>
      <c r="C127" s="39"/>
      <c r="D127" s="39"/>
      <c r="E127" s="39"/>
      <c r="F127" s="39"/>
    </row>
    <row r="128" spans="2:6" ht="14.25" customHeight="1">
      <c r="B128" s="39"/>
      <c r="C128" s="39"/>
      <c r="D128" s="39"/>
      <c r="E128" s="39"/>
      <c r="F128" s="39"/>
    </row>
    <row r="129" spans="2:6" ht="14.25" customHeight="1">
      <c r="B129" s="39"/>
      <c r="C129" s="39"/>
      <c r="D129" s="39"/>
      <c r="E129" s="39"/>
      <c r="F129" s="39"/>
    </row>
    <row r="130" spans="2:6" ht="14.25" customHeight="1">
      <c r="B130" s="39"/>
      <c r="C130" s="39"/>
      <c r="D130" s="39"/>
      <c r="E130" s="39"/>
      <c r="F130" s="39"/>
    </row>
    <row r="131" spans="2:6" ht="14.25" customHeight="1">
      <c r="B131" s="39"/>
      <c r="C131" s="39"/>
      <c r="D131" s="39"/>
      <c r="E131" s="39"/>
      <c r="F131" s="39"/>
    </row>
    <row r="132" spans="2:6" ht="14.25" customHeight="1">
      <c r="B132" s="39"/>
      <c r="C132" s="39"/>
      <c r="D132" s="39"/>
      <c r="E132" s="39"/>
      <c r="F132" s="39"/>
    </row>
    <row r="133" spans="2:6" ht="14.25" customHeight="1">
      <c r="B133" s="39"/>
      <c r="C133" s="39"/>
      <c r="D133" s="39"/>
      <c r="E133" s="39"/>
      <c r="F133" s="39"/>
    </row>
    <row r="134" spans="2:6" ht="14.25" customHeight="1">
      <c r="B134" s="39"/>
      <c r="C134" s="39"/>
      <c r="D134" s="39"/>
      <c r="E134" s="39"/>
      <c r="F134" s="39"/>
    </row>
    <row r="135" spans="2:6" ht="14.25" customHeight="1">
      <c r="B135" s="39"/>
      <c r="C135" s="39"/>
      <c r="D135" s="39"/>
      <c r="E135" s="39"/>
      <c r="F135" s="39"/>
    </row>
    <row r="136" spans="2:6" ht="14.25" customHeight="1">
      <c r="B136" s="39"/>
      <c r="C136" s="39"/>
      <c r="D136" s="39"/>
      <c r="E136" s="39"/>
      <c r="F136" s="39"/>
    </row>
    <row r="137" spans="2:6" ht="14.25" customHeight="1">
      <c r="B137" s="39"/>
      <c r="C137" s="39"/>
      <c r="D137" s="39"/>
      <c r="E137" s="39"/>
      <c r="F137" s="39"/>
    </row>
    <row r="138" spans="2:6" ht="14.25" customHeight="1">
      <c r="B138" s="39"/>
      <c r="C138" s="39"/>
      <c r="D138" s="39"/>
      <c r="E138" s="39"/>
      <c r="F138" s="39"/>
    </row>
    <row r="139" spans="2:6" ht="14.25" customHeight="1">
      <c r="B139" s="39"/>
      <c r="C139" s="39"/>
      <c r="D139" s="39"/>
      <c r="E139" s="39"/>
      <c r="F139" s="39"/>
    </row>
    <row r="140" spans="2:6" ht="14.25" customHeight="1">
      <c r="B140" s="39"/>
      <c r="C140" s="39"/>
      <c r="D140" s="39"/>
      <c r="E140" s="39"/>
      <c r="F140" s="39"/>
    </row>
    <row r="141" spans="2:6" ht="14.25" customHeight="1">
      <c r="B141" s="39"/>
      <c r="C141" s="39"/>
      <c r="D141" s="39"/>
      <c r="E141" s="39"/>
      <c r="F141" s="39"/>
    </row>
    <row r="142" spans="2:6" ht="14.25" customHeight="1">
      <c r="B142" s="39"/>
      <c r="C142" s="39"/>
      <c r="D142" s="39"/>
      <c r="E142" s="39"/>
      <c r="F142" s="39"/>
    </row>
    <row r="143" spans="2:6" ht="14.25" customHeight="1">
      <c r="B143" s="39"/>
      <c r="C143" s="39"/>
      <c r="D143" s="39"/>
      <c r="E143" s="39"/>
      <c r="F143" s="39"/>
    </row>
    <row r="144" spans="2:6" ht="14.25" customHeight="1">
      <c r="B144" s="39"/>
      <c r="C144" s="39"/>
      <c r="D144" s="39"/>
      <c r="E144" s="39"/>
      <c r="F144" s="39"/>
    </row>
    <row r="145" spans="2:6" ht="14.25" customHeight="1">
      <c r="B145" s="39"/>
      <c r="C145" s="39"/>
      <c r="D145" s="39"/>
      <c r="E145" s="39"/>
      <c r="F145" s="39"/>
    </row>
    <row r="146" spans="2:6" ht="14.25" customHeight="1">
      <c r="B146" s="39"/>
      <c r="C146" s="39"/>
      <c r="D146" s="39"/>
      <c r="E146" s="39"/>
      <c r="F146" s="39"/>
    </row>
    <row r="147" spans="2:6" ht="14.25" customHeight="1">
      <c r="B147" s="39"/>
      <c r="C147" s="39"/>
      <c r="D147" s="39"/>
      <c r="E147" s="39"/>
      <c r="F147" s="39"/>
    </row>
    <row r="148" spans="2:6" ht="14.25" customHeight="1">
      <c r="B148" s="39"/>
      <c r="C148" s="39"/>
      <c r="D148" s="39"/>
      <c r="E148" s="39"/>
      <c r="F148" s="39"/>
    </row>
    <row r="149" spans="2:6" ht="14.25" customHeight="1">
      <c r="B149" s="39"/>
      <c r="C149" s="39"/>
      <c r="D149" s="39"/>
      <c r="E149" s="39"/>
      <c r="F149" s="39"/>
    </row>
    <row r="150" spans="2:6" ht="14.25" customHeight="1">
      <c r="B150" s="39"/>
      <c r="C150" s="39"/>
      <c r="D150" s="39"/>
      <c r="E150" s="39"/>
      <c r="F150" s="39"/>
    </row>
    <row r="151" spans="2:6" ht="14.25" customHeight="1">
      <c r="B151" s="39"/>
      <c r="C151" s="39"/>
      <c r="D151" s="39"/>
      <c r="E151" s="39"/>
      <c r="F151" s="39"/>
    </row>
    <row r="152" spans="2:6" ht="14.25" customHeight="1">
      <c r="B152" s="39"/>
      <c r="C152" s="39"/>
      <c r="D152" s="39"/>
      <c r="E152" s="39"/>
      <c r="F152" s="39"/>
    </row>
    <row r="153" spans="2:6" ht="14.25" customHeight="1">
      <c r="B153" s="39"/>
      <c r="C153" s="39"/>
      <c r="D153" s="39"/>
      <c r="E153" s="39"/>
      <c r="F153" s="39"/>
    </row>
    <row r="154" spans="2:6" ht="14.25" customHeight="1">
      <c r="B154" s="39"/>
      <c r="C154" s="39"/>
      <c r="D154" s="39"/>
      <c r="E154" s="39"/>
      <c r="F154" s="39"/>
    </row>
    <row r="155" spans="2:6" ht="14.25" customHeight="1">
      <c r="B155" s="39"/>
      <c r="C155" s="39"/>
      <c r="D155" s="39"/>
      <c r="E155" s="39"/>
      <c r="F155" s="39"/>
    </row>
    <row r="156" spans="2:6" ht="14.25" customHeight="1">
      <c r="B156" s="39"/>
      <c r="C156" s="39"/>
      <c r="D156" s="39"/>
      <c r="E156" s="39"/>
      <c r="F156" s="39"/>
    </row>
    <row r="157" spans="2:6" ht="14.25" customHeight="1">
      <c r="B157" s="39"/>
      <c r="C157" s="39"/>
      <c r="D157" s="39"/>
      <c r="E157" s="39"/>
      <c r="F157" s="39"/>
    </row>
    <row r="158" spans="2:6" ht="14.25" customHeight="1">
      <c r="B158" s="39"/>
      <c r="C158" s="39"/>
      <c r="D158" s="39"/>
      <c r="E158" s="39"/>
      <c r="F158" s="39"/>
    </row>
    <row r="159" spans="2:6" ht="14.25" customHeight="1">
      <c r="B159" s="39"/>
      <c r="C159" s="39"/>
      <c r="D159" s="39"/>
      <c r="E159" s="39"/>
      <c r="F159" s="39"/>
    </row>
    <row r="160" spans="2:6" ht="14.25" customHeight="1">
      <c r="B160" s="39"/>
      <c r="C160" s="39"/>
      <c r="D160" s="39"/>
      <c r="E160" s="39"/>
      <c r="F160" s="39"/>
    </row>
    <row r="161" spans="2:6" ht="14.25" customHeight="1">
      <c r="B161" s="39"/>
      <c r="C161" s="39"/>
      <c r="D161" s="39"/>
      <c r="E161" s="39"/>
      <c r="F161" s="39"/>
    </row>
    <row r="162" spans="2:6" ht="14.25" customHeight="1">
      <c r="B162" s="39"/>
      <c r="C162" s="39"/>
      <c r="D162" s="39"/>
      <c r="E162" s="39"/>
      <c r="F162" s="39"/>
    </row>
    <row r="163" spans="2:6" ht="14.25" customHeight="1">
      <c r="B163" s="39"/>
      <c r="C163" s="39"/>
      <c r="D163" s="39"/>
      <c r="E163" s="39"/>
      <c r="F163" s="39"/>
    </row>
    <row r="164" spans="2:6" ht="14.25" customHeight="1">
      <c r="B164" s="39"/>
      <c r="C164" s="39"/>
      <c r="D164" s="39"/>
      <c r="E164" s="39"/>
      <c r="F164" s="39"/>
    </row>
    <row r="165" spans="2:6" ht="14.25" customHeight="1">
      <c r="B165" s="39"/>
      <c r="C165" s="39"/>
      <c r="D165" s="39"/>
      <c r="E165" s="39"/>
      <c r="F165" s="39"/>
    </row>
    <row r="166" spans="2:6" ht="14.25" customHeight="1">
      <c r="B166" s="39"/>
      <c r="C166" s="39"/>
      <c r="D166" s="39"/>
      <c r="E166" s="39"/>
      <c r="F166" s="39"/>
    </row>
    <row r="167" spans="2:6" ht="14.25" customHeight="1">
      <c r="B167" s="39"/>
      <c r="C167" s="39"/>
      <c r="D167" s="39"/>
      <c r="E167" s="39"/>
      <c r="F167" s="39"/>
    </row>
    <row r="168" spans="2:6" ht="14.25" customHeight="1">
      <c r="B168" s="39"/>
      <c r="C168" s="39"/>
      <c r="D168" s="39"/>
      <c r="E168" s="39"/>
      <c r="F168" s="39"/>
    </row>
    <row r="169" spans="2:6" ht="14.25" customHeight="1">
      <c r="B169" s="39"/>
      <c r="C169" s="39"/>
      <c r="D169" s="39"/>
      <c r="E169" s="39"/>
      <c r="F169" s="39"/>
    </row>
    <row r="170" spans="2:6" ht="14.25" customHeight="1">
      <c r="B170" s="39"/>
      <c r="C170" s="39"/>
      <c r="D170" s="39"/>
      <c r="E170" s="39"/>
      <c r="F170" s="39"/>
    </row>
    <row r="171" spans="2:6" ht="14.25" customHeight="1">
      <c r="B171" s="39"/>
      <c r="C171" s="39"/>
      <c r="D171" s="39"/>
      <c r="E171" s="39"/>
      <c r="F171" s="39"/>
    </row>
    <row r="172" spans="2:6" ht="14.25" customHeight="1">
      <c r="B172" s="39"/>
      <c r="C172" s="39"/>
      <c r="D172" s="39"/>
      <c r="E172" s="39"/>
      <c r="F172" s="39"/>
    </row>
    <row r="173" spans="2:6" ht="14.25" customHeight="1">
      <c r="B173" s="39"/>
      <c r="C173" s="39"/>
      <c r="D173" s="39"/>
      <c r="E173" s="39"/>
      <c r="F173" s="39"/>
    </row>
    <row r="174" spans="2:6" ht="14.25" customHeight="1">
      <c r="B174" s="39"/>
      <c r="C174" s="39"/>
      <c r="D174" s="39"/>
      <c r="E174" s="39"/>
      <c r="F174" s="39"/>
    </row>
    <row r="175" spans="2:6" ht="14.25" customHeight="1">
      <c r="B175" s="39"/>
      <c r="C175" s="39"/>
      <c r="D175" s="39"/>
      <c r="E175" s="39"/>
      <c r="F175" s="39"/>
    </row>
    <row r="176" spans="2:6" ht="14.25" customHeight="1">
      <c r="B176" s="39"/>
      <c r="C176" s="39"/>
      <c r="D176" s="39"/>
      <c r="E176" s="39"/>
      <c r="F176" s="39"/>
    </row>
    <row r="177" spans="2:6" ht="14.25" customHeight="1">
      <c r="B177" s="39"/>
      <c r="C177" s="39"/>
      <c r="D177" s="39"/>
      <c r="E177" s="39"/>
      <c r="F177" s="39"/>
    </row>
    <row r="178" spans="2:6" ht="14.25" customHeight="1">
      <c r="B178" s="39"/>
      <c r="C178" s="39"/>
      <c r="D178" s="39"/>
      <c r="E178" s="39"/>
      <c r="F178" s="39"/>
    </row>
    <row r="179" spans="2:6" ht="14.25" customHeight="1">
      <c r="B179" s="39"/>
      <c r="C179" s="39"/>
      <c r="D179" s="39"/>
      <c r="E179" s="39"/>
      <c r="F179" s="39"/>
    </row>
    <row r="180" spans="2:6" ht="14.25" customHeight="1">
      <c r="B180" s="39"/>
      <c r="C180" s="39"/>
      <c r="D180" s="39"/>
      <c r="E180" s="39"/>
      <c r="F180" s="39"/>
    </row>
    <row r="181" spans="2:6" ht="14.25" customHeight="1">
      <c r="B181" s="39"/>
      <c r="C181" s="39"/>
      <c r="D181" s="39"/>
      <c r="E181" s="39"/>
      <c r="F181" s="39"/>
    </row>
    <row r="182" spans="2:6" ht="14.25" customHeight="1">
      <c r="B182" s="39"/>
      <c r="C182" s="39"/>
      <c r="D182" s="39"/>
      <c r="E182" s="39"/>
      <c r="F182" s="39"/>
    </row>
    <row r="183" spans="2:6" ht="14.25" customHeight="1">
      <c r="B183" s="39"/>
      <c r="C183" s="39"/>
      <c r="D183" s="39"/>
      <c r="E183" s="39"/>
      <c r="F183" s="39"/>
    </row>
    <row r="184" spans="2:6" ht="14.25" customHeight="1">
      <c r="B184" s="39"/>
      <c r="C184" s="39"/>
      <c r="D184" s="39"/>
      <c r="E184" s="39"/>
      <c r="F184" s="39"/>
    </row>
    <row r="185" spans="2:6" ht="14.25" customHeight="1">
      <c r="B185" s="39"/>
      <c r="C185" s="39"/>
      <c r="D185" s="39"/>
      <c r="E185" s="39"/>
      <c r="F185" s="39"/>
    </row>
    <row r="186" spans="2:6" ht="14.25" customHeight="1">
      <c r="B186" s="39"/>
      <c r="C186" s="39"/>
      <c r="D186" s="39"/>
      <c r="E186" s="39"/>
      <c r="F186" s="39"/>
    </row>
    <row r="187" spans="2:6" ht="14.25" customHeight="1">
      <c r="B187" s="39"/>
      <c r="C187" s="39"/>
      <c r="D187" s="39"/>
      <c r="E187" s="39"/>
      <c r="F187" s="39"/>
    </row>
    <row r="188" spans="2:6" ht="14.25" customHeight="1">
      <c r="B188" s="39"/>
      <c r="C188" s="39"/>
      <c r="D188" s="39"/>
      <c r="E188" s="39"/>
      <c r="F188" s="39"/>
    </row>
    <row r="189" spans="2:6" ht="14.25" customHeight="1">
      <c r="B189" s="39"/>
      <c r="C189" s="39"/>
      <c r="D189" s="39"/>
      <c r="E189" s="39"/>
      <c r="F189" s="39"/>
    </row>
    <row r="190" spans="2:6" ht="14.25" customHeight="1">
      <c r="B190" s="39"/>
      <c r="C190" s="39"/>
      <c r="D190" s="39"/>
      <c r="E190" s="39"/>
      <c r="F190" s="39"/>
    </row>
    <row r="191" spans="2:6" ht="14.25" customHeight="1">
      <c r="B191" s="39"/>
      <c r="C191" s="39"/>
      <c r="D191" s="39"/>
      <c r="E191" s="39"/>
      <c r="F191" s="39"/>
    </row>
    <row r="192" spans="2:6" ht="14.25" customHeight="1">
      <c r="B192" s="39"/>
      <c r="C192" s="39"/>
      <c r="D192" s="39"/>
      <c r="E192" s="39"/>
      <c r="F192" s="39"/>
    </row>
    <row r="193" spans="2:6" ht="14.25" customHeight="1">
      <c r="B193" s="39"/>
      <c r="C193" s="39"/>
      <c r="D193" s="39"/>
      <c r="E193" s="39"/>
      <c r="F193" s="39"/>
    </row>
    <row r="194" spans="2:6" ht="14.25" customHeight="1">
      <c r="B194" s="39"/>
      <c r="C194" s="39"/>
      <c r="D194" s="39"/>
      <c r="E194" s="39"/>
      <c r="F194" s="39"/>
    </row>
    <row r="195" spans="2:6" ht="14.25" customHeight="1">
      <c r="B195" s="39"/>
      <c r="C195" s="39"/>
      <c r="D195" s="39"/>
      <c r="E195" s="39"/>
      <c r="F195" s="39"/>
    </row>
    <row r="196" spans="2:6" ht="14.25" customHeight="1">
      <c r="B196" s="39"/>
      <c r="C196" s="39"/>
      <c r="D196" s="39"/>
      <c r="E196" s="39"/>
      <c r="F196" s="39"/>
    </row>
    <row r="197" spans="2:6" ht="14.25" customHeight="1">
      <c r="B197" s="39"/>
      <c r="C197" s="39"/>
      <c r="D197" s="39"/>
      <c r="E197" s="39"/>
      <c r="F197" s="39"/>
    </row>
    <row r="198" spans="2:6" ht="14.25" customHeight="1">
      <c r="B198" s="39"/>
      <c r="C198" s="39"/>
      <c r="D198" s="39"/>
      <c r="E198" s="39"/>
      <c r="F198" s="39"/>
    </row>
    <row r="199" spans="2:6" ht="14.25" customHeight="1">
      <c r="B199" s="39"/>
      <c r="C199" s="39"/>
      <c r="D199" s="39"/>
      <c r="E199" s="39"/>
      <c r="F199" s="39"/>
    </row>
    <row r="200" spans="2:6" ht="14.25" customHeight="1">
      <c r="B200" s="39"/>
      <c r="C200" s="39"/>
      <c r="D200" s="39"/>
      <c r="E200" s="39"/>
      <c r="F200" s="39"/>
    </row>
    <row r="201" spans="2:6" ht="14.25" customHeight="1">
      <c r="B201" s="39"/>
      <c r="C201" s="39"/>
      <c r="D201" s="39"/>
      <c r="E201" s="39"/>
      <c r="F201" s="39"/>
    </row>
    <row r="202" spans="2:6" ht="14.25" customHeight="1">
      <c r="B202" s="39"/>
      <c r="C202" s="39"/>
      <c r="D202" s="39"/>
      <c r="E202" s="39"/>
      <c r="F202" s="39"/>
    </row>
    <row r="203" spans="2:6" ht="14.25" customHeight="1">
      <c r="B203" s="39"/>
      <c r="C203" s="39"/>
      <c r="D203" s="39"/>
      <c r="E203" s="39"/>
      <c r="F203" s="39"/>
    </row>
    <row r="204" spans="2:6" ht="14.25" customHeight="1">
      <c r="B204" s="39"/>
      <c r="C204" s="39"/>
      <c r="D204" s="39"/>
      <c r="E204" s="39"/>
      <c r="F204" s="39"/>
    </row>
    <row r="205" spans="2:6" ht="14.25" customHeight="1">
      <c r="B205" s="39"/>
      <c r="C205" s="39"/>
      <c r="D205" s="39"/>
      <c r="E205" s="39"/>
      <c r="F205" s="39"/>
    </row>
    <row r="206" spans="2:6" ht="14.25" customHeight="1">
      <c r="B206" s="39"/>
      <c r="C206" s="39"/>
      <c r="D206" s="39"/>
      <c r="E206" s="39"/>
      <c r="F206" s="39"/>
    </row>
    <row r="207" spans="2:6" ht="14.25" customHeight="1">
      <c r="B207" s="39"/>
      <c r="C207" s="39"/>
      <c r="D207" s="39"/>
      <c r="E207" s="39"/>
      <c r="F207" s="39"/>
    </row>
    <row r="208" spans="2:6" ht="14.25" customHeight="1">
      <c r="B208" s="39"/>
      <c r="C208" s="39"/>
      <c r="D208" s="39"/>
      <c r="E208" s="39"/>
      <c r="F208" s="39"/>
    </row>
    <row r="209" spans="2:6" ht="14.25" customHeight="1">
      <c r="B209" s="39"/>
      <c r="C209" s="39"/>
      <c r="D209" s="39"/>
      <c r="E209" s="39"/>
      <c r="F209" s="39"/>
    </row>
    <row r="210" spans="2:6" ht="14.25" customHeight="1">
      <c r="B210" s="39"/>
      <c r="C210" s="39"/>
      <c r="D210" s="39"/>
      <c r="E210" s="39"/>
      <c r="F210" s="39"/>
    </row>
    <row r="211" spans="2:6" ht="14.25" customHeight="1">
      <c r="B211" s="39"/>
      <c r="C211" s="39"/>
      <c r="D211" s="39"/>
      <c r="E211" s="39"/>
      <c r="F211" s="39"/>
    </row>
    <row r="212" spans="2:6" ht="14.25" customHeight="1">
      <c r="B212" s="39"/>
      <c r="C212" s="39"/>
      <c r="D212" s="39"/>
      <c r="E212" s="39"/>
      <c r="F212" s="39"/>
    </row>
    <row r="213" spans="2:6" ht="14.25" customHeight="1">
      <c r="B213" s="39"/>
      <c r="C213" s="39"/>
      <c r="D213" s="39"/>
      <c r="E213" s="39"/>
      <c r="F213" s="39"/>
    </row>
    <row r="214" spans="2:6" ht="14.25" customHeight="1">
      <c r="B214" s="39"/>
      <c r="C214" s="39"/>
      <c r="D214" s="39"/>
      <c r="E214" s="39"/>
      <c r="F214" s="39"/>
    </row>
    <row r="215" spans="2:6" ht="14.25" customHeight="1">
      <c r="B215" s="39"/>
      <c r="C215" s="39"/>
      <c r="D215" s="39"/>
      <c r="E215" s="39"/>
      <c r="F215" s="39"/>
    </row>
    <row r="216" spans="2:6" ht="14.25" customHeight="1">
      <c r="B216" s="39"/>
      <c r="C216" s="39"/>
      <c r="D216" s="39"/>
      <c r="E216" s="39"/>
      <c r="F216" s="39"/>
    </row>
    <row r="217" spans="2:6" ht="14.25" customHeight="1">
      <c r="B217" s="39"/>
      <c r="C217" s="39"/>
      <c r="D217" s="39"/>
      <c r="E217" s="39"/>
      <c r="F217" s="39"/>
    </row>
    <row r="218" spans="2:6" ht="14.25" customHeight="1">
      <c r="B218" s="39"/>
      <c r="C218" s="39"/>
      <c r="D218" s="39"/>
      <c r="E218" s="39"/>
      <c r="F218" s="39"/>
    </row>
    <row r="219" spans="2:6" ht="14.25" customHeight="1">
      <c r="B219" s="39"/>
      <c r="C219" s="39"/>
      <c r="D219" s="39"/>
      <c r="E219" s="39"/>
      <c r="F219" s="39"/>
    </row>
    <row r="220" spans="2:6" ht="14.25" customHeight="1">
      <c r="B220" s="39"/>
      <c r="C220" s="39"/>
      <c r="D220" s="39"/>
      <c r="E220" s="39"/>
      <c r="F220" s="39"/>
    </row>
    <row r="221" spans="2:6" ht="14.25" customHeight="1">
      <c r="B221" s="39"/>
      <c r="C221" s="39"/>
      <c r="D221" s="39"/>
      <c r="E221" s="39"/>
      <c r="F221" s="39"/>
    </row>
    <row r="222" spans="2:6" ht="14.25" customHeight="1">
      <c r="B222" s="39"/>
      <c r="C222" s="39"/>
      <c r="D222" s="39"/>
      <c r="E222" s="39"/>
      <c r="F222" s="39"/>
    </row>
    <row r="223" spans="2:6" ht="14.25" customHeight="1">
      <c r="B223" s="39"/>
      <c r="C223" s="39"/>
      <c r="D223" s="39"/>
      <c r="E223" s="39"/>
      <c r="F223" s="39"/>
    </row>
    <row r="224" spans="2:6" ht="14.25" customHeight="1">
      <c r="B224" s="39"/>
      <c r="C224" s="39"/>
      <c r="D224" s="39"/>
      <c r="E224" s="39"/>
      <c r="F224" s="39"/>
    </row>
    <row r="225" spans="2:7" ht="14.25" customHeight="1">
      <c r="B225" s="39"/>
      <c r="C225" s="39"/>
      <c r="D225" s="39"/>
      <c r="E225" s="39"/>
      <c r="F225" s="39"/>
    </row>
    <row r="226" spans="2:7" ht="14.25" customHeight="1">
      <c r="B226" s="39"/>
      <c r="C226" s="39"/>
      <c r="D226" s="39"/>
      <c r="E226" s="39"/>
      <c r="F226" s="39"/>
    </row>
    <row r="227" spans="2:7" ht="14.25" customHeight="1">
      <c r="B227" s="39"/>
      <c r="C227" s="39"/>
      <c r="D227" s="39"/>
      <c r="E227" s="39"/>
      <c r="F227" s="39"/>
    </row>
    <row r="228" spans="2:7" ht="14.25" customHeight="1">
      <c r="B228" s="39"/>
      <c r="C228" s="39"/>
      <c r="D228" s="39"/>
      <c r="E228" s="39"/>
      <c r="F228" s="39"/>
    </row>
    <row r="229" spans="2:7" ht="14.25" customHeight="1">
      <c r="B229" s="39"/>
      <c r="C229" s="39"/>
      <c r="D229" s="39"/>
      <c r="E229" s="39"/>
      <c r="F229" s="39"/>
    </row>
    <row r="230" spans="2:7" ht="14.25" customHeight="1">
      <c r="B230" s="39"/>
      <c r="C230" s="39"/>
      <c r="D230" s="39"/>
      <c r="E230" s="39"/>
      <c r="F230" s="39"/>
    </row>
    <row r="231" spans="2:7" ht="14.25" customHeight="1">
      <c r="B231" s="39"/>
      <c r="C231" s="39"/>
      <c r="D231" s="39"/>
      <c r="E231" s="39"/>
      <c r="F231" s="39"/>
    </row>
    <row r="232" spans="2:7" ht="14.25" customHeight="1">
      <c r="B232" s="39"/>
      <c r="C232" s="39"/>
      <c r="D232" s="39"/>
      <c r="E232" s="39"/>
      <c r="F232" s="39"/>
    </row>
    <row r="233" spans="2:7" ht="14.25" customHeight="1">
      <c r="B233" s="39"/>
      <c r="C233" s="39"/>
      <c r="D233" s="39"/>
      <c r="E233" s="39"/>
      <c r="F233" s="39"/>
    </row>
    <row r="234" spans="2:7" ht="14.25" customHeight="1">
      <c r="B234" s="39"/>
      <c r="C234" s="39"/>
      <c r="D234" s="39"/>
      <c r="E234" s="39"/>
      <c r="F234" s="39"/>
    </row>
    <row r="235" spans="2:7" ht="14.25" customHeight="1">
      <c r="B235" s="39"/>
      <c r="C235" s="39"/>
      <c r="D235" s="39"/>
      <c r="E235" s="39"/>
      <c r="F235" s="39"/>
    </row>
    <row r="236" spans="2:7" ht="14.25" customHeight="1">
      <c r="B236" s="40"/>
      <c r="D236" s="41"/>
      <c r="F236" s="41"/>
      <c r="G236" s="42"/>
    </row>
    <row r="237" spans="2:7" ht="14.25" customHeight="1">
      <c r="B237" s="40"/>
      <c r="D237" s="41"/>
      <c r="F237" s="41"/>
      <c r="G237" s="42"/>
    </row>
    <row r="238" spans="2:7" ht="14.25" customHeight="1">
      <c r="B238" s="40"/>
      <c r="D238" s="41"/>
      <c r="F238" s="41"/>
      <c r="G238" s="42"/>
    </row>
    <row r="239" spans="2:7" ht="14.25" customHeight="1">
      <c r="B239" s="40"/>
      <c r="D239" s="41"/>
      <c r="F239" s="41"/>
      <c r="G239" s="42"/>
    </row>
    <row r="240" spans="2:7" ht="14.25" customHeight="1">
      <c r="B240" s="40"/>
      <c r="D240" s="41"/>
      <c r="F240" s="41"/>
      <c r="G240" s="42"/>
    </row>
    <row r="241" spans="2:7" ht="14.25" customHeight="1">
      <c r="B241" s="40"/>
      <c r="D241" s="41"/>
      <c r="F241" s="41"/>
      <c r="G241" s="42"/>
    </row>
    <row r="242" spans="2:7" ht="14.25" customHeight="1">
      <c r="B242" s="40"/>
      <c r="D242" s="41"/>
      <c r="F242" s="41"/>
      <c r="G242" s="42"/>
    </row>
    <row r="243" spans="2:7" ht="14.25" customHeight="1">
      <c r="B243" s="40"/>
      <c r="D243" s="41"/>
      <c r="F243" s="41"/>
      <c r="G243" s="42"/>
    </row>
    <row r="244" spans="2:7" ht="14.25" customHeight="1">
      <c r="B244" s="40"/>
      <c r="D244" s="41"/>
      <c r="F244" s="41"/>
      <c r="G244" s="42"/>
    </row>
    <row r="245" spans="2:7" ht="14.25" customHeight="1">
      <c r="B245" s="40"/>
      <c r="D245" s="41"/>
      <c r="F245" s="41"/>
      <c r="G245" s="42"/>
    </row>
    <row r="246" spans="2:7" ht="14.25" customHeight="1">
      <c r="B246" s="40"/>
      <c r="D246" s="41"/>
      <c r="F246" s="41"/>
      <c r="G246" s="42"/>
    </row>
    <row r="247" spans="2:7" ht="14.25" customHeight="1">
      <c r="B247" s="40"/>
      <c r="D247" s="41"/>
      <c r="F247" s="41"/>
      <c r="G247" s="42"/>
    </row>
    <row r="248" spans="2:7" ht="14.25" customHeight="1">
      <c r="B248" s="40"/>
      <c r="D248" s="41"/>
      <c r="F248" s="41"/>
      <c r="G248" s="42"/>
    </row>
    <row r="249" spans="2:7" ht="14.25" customHeight="1">
      <c r="B249" s="40"/>
      <c r="D249" s="41"/>
      <c r="F249" s="41"/>
      <c r="G249" s="42"/>
    </row>
    <row r="250" spans="2:7" ht="14.25" customHeight="1">
      <c r="B250" s="40"/>
      <c r="D250" s="41"/>
      <c r="F250" s="41"/>
      <c r="G250" s="42"/>
    </row>
    <row r="251" spans="2:7" ht="14.25" customHeight="1">
      <c r="B251" s="40"/>
      <c r="D251" s="41"/>
      <c r="F251" s="41"/>
      <c r="G251" s="42"/>
    </row>
    <row r="252" spans="2:7" ht="14.25" customHeight="1">
      <c r="B252" s="40"/>
      <c r="D252" s="41"/>
      <c r="F252" s="41"/>
      <c r="G252" s="42"/>
    </row>
    <row r="253" spans="2:7" ht="14.25" customHeight="1">
      <c r="B253" s="40"/>
      <c r="D253" s="41"/>
      <c r="F253" s="41"/>
      <c r="G253" s="42"/>
    </row>
    <row r="254" spans="2:7" ht="14.25" customHeight="1">
      <c r="B254" s="40"/>
      <c r="D254" s="41"/>
      <c r="F254" s="41"/>
      <c r="G254" s="42"/>
    </row>
    <row r="255" spans="2:7" ht="14.25" customHeight="1">
      <c r="B255" s="40"/>
      <c r="D255" s="41"/>
      <c r="F255" s="41"/>
      <c r="G255" s="42"/>
    </row>
    <row r="256" spans="2:7" ht="14.25" customHeight="1">
      <c r="B256" s="40"/>
      <c r="D256" s="41"/>
      <c r="F256" s="41"/>
      <c r="G256" s="42"/>
    </row>
    <row r="257" spans="2:7" ht="14.25" customHeight="1">
      <c r="B257" s="40"/>
      <c r="D257" s="41"/>
      <c r="F257" s="41"/>
      <c r="G257" s="42"/>
    </row>
    <row r="258" spans="2:7" ht="14.25" customHeight="1">
      <c r="B258" s="40"/>
      <c r="D258" s="41"/>
      <c r="F258" s="41"/>
      <c r="G258" s="42"/>
    </row>
    <row r="259" spans="2:7" ht="14.25" customHeight="1">
      <c r="B259" s="40"/>
      <c r="D259" s="41"/>
      <c r="F259" s="41"/>
      <c r="G259" s="42"/>
    </row>
    <row r="260" spans="2:7" ht="14.25" customHeight="1">
      <c r="B260" s="40"/>
      <c r="D260" s="41"/>
      <c r="F260" s="41"/>
      <c r="G260" s="42"/>
    </row>
    <row r="261" spans="2:7" ht="14.25" customHeight="1">
      <c r="B261" s="40"/>
      <c r="D261" s="41"/>
      <c r="F261" s="41"/>
      <c r="G261" s="42"/>
    </row>
    <row r="262" spans="2:7" ht="14.25" customHeight="1">
      <c r="B262" s="40"/>
      <c r="D262" s="41"/>
      <c r="F262" s="41"/>
      <c r="G262" s="42"/>
    </row>
    <row r="263" spans="2:7" ht="14.25" customHeight="1">
      <c r="B263" s="40"/>
      <c r="D263" s="41"/>
      <c r="F263" s="41"/>
      <c r="G263" s="42"/>
    </row>
    <row r="264" spans="2:7" ht="14.25" customHeight="1">
      <c r="B264" s="40"/>
      <c r="D264" s="41"/>
      <c r="F264" s="41"/>
      <c r="G264" s="42"/>
    </row>
    <row r="265" spans="2:7" ht="14.25" customHeight="1">
      <c r="B265" s="40"/>
      <c r="D265" s="41"/>
      <c r="F265" s="41"/>
      <c r="G265" s="42"/>
    </row>
    <row r="266" spans="2:7" ht="14.25" customHeight="1">
      <c r="B266" s="40"/>
      <c r="D266" s="41"/>
      <c r="F266" s="41"/>
      <c r="G266" s="42"/>
    </row>
    <row r="267" spans="2:7" ht="14.25" customHeight="1">
      <c r="B267" s="40"/>
      <c r="D267" s="41"/>
      <c r="F267" s="41"/>
      <c r="G267" s="42"/>
    </row>
    <row r="268" spans="2:7" ht="14.25" customHeight="1">
      <c r="B268" s="40"/>
      <c r="D268" s="41"/>
      <c r="F268" s="41"/>
      <c r="G268" s="42"/>
    </row>
    <row r="269" spans="2:7" ht="14.25" customHeight="1">
      <c r="B269" s="40"/>
      <c r="D269" s="41"/>
      <c r="F269" s="41"/>
      <c r="G269" s="42"/>
    </row>
    <row r="270" spans="2:7" ht="14.25" customHeight="1">
      <c r="B270" s="40"/>
      <c r="D270" s="41"/>
      <c r="F270" s="41"/>
      <c r="G270" s="42"/>
    </row>
    <row r="271" spans="2:7" ht="14.25" customHeight="1">
      <c r="B271" s="40"/>
      <c r="D271" s="41"/>
      <c r="F271" s="41"/>
      <c r="G271" s="42"/>
    </row>
    <row r="272" spans="2:7" ht="14.25" customHeight="1">
      <c r="B272" s="40"/>
      <c r="D272" s="41"/>
      <c r="F272" s="41"/>
      <c r="G272" s="42"/>
    </row>
    <row r="273" spans="2:7" ht="14.25" customHeight="1">
      <c r="B273" s="40"/>
      <c r="D273" s="41"/>
      <c r="F273" s="41"/>
      <c r="G273" s="42"/>
    </row>
    <row r="274" spans="2:7" ht="14.25" customHeight="1">
      <c r="B274" s="40"/>
      <c r="D274" s="41"/>
      <c r="F274" s="41"/>
      <c r="G274" s="42"/>
    </row>
    <row r="275" spans="2:7" ht="14.25" customHeight="1">
      <c r="B275" s="40"/>
      <c r="D275" s="41"/>
      <c r="F275" s="41"/>
      <c r="G275" s="42"/>
    </row>
    <row r="276" spans="2:7" ht="14.25" customHeight="1">
      <c r="B276" s="40"/>
      <c r="D276" s="41"/>
      <c r="F276" s="41"/>
      <c r="G276" s="42"/>
    </row>
    <row r="277" spans="2:7" ht="14.25" customHeight="1">
      <c r="B277" s="40"/>
      <c r="D277" s="41"/>
      <c r="F277" s="41"/>
      <c r="G277" s="42"/>
    </row>
    <row r="278" spans="2:7" ht="14.25" customHeight="1">
      <c r="B278" s="40"/>
      <c r="D278" s="41"/>
      <c r="F278" s="41"/>
      <c r="G278" s="42"/>
    </row>
    <row r="279" spans="2:7" ht="14.25" customHeight="1">
      <c r="B279" s="40"/>
      <c r="D279" s="41"/>
      <c r="F279" s="41"/>
      <c r="G279" s="42"/>
    </row>
    <row r="280" spans="2:7" ht="14.25" customHeight="1">
      <c r="B280" s="40"/>
      <c r="D280" s="41"/>
      <c r="F280" s="41"/>
      <c r="G280" s="42"/>
    </row>
    <row r="281" spans="2:7" ht="14.25" customHeight="1">
      <c r="B281" s="40"/>
      <c r="D281" s="41"/>
      <c r="F281" s="41"/>
      <c r="G281" s="42"/>
    </row>
    <row r="282" spans="2:7" ht="14.25" customHeight="1">
      <c r="B282" s="40"/>
      <c r="D282" s="41"/>
      <c r="F282" s="41"/>
      <c r="G282" s="42"/>
    </row>
    <row r="283" spans="2:7" ht="14.25" customHeight="1">
      <c r="B283" s="40"/>
      <c r="D283" s="41"/>
      <c r="F283" s="41"/>
      <c r="G283" s="42"/>
    </row>
    <row r="284" spans="2:7" ht="14.25" customHeight="1">
      <c r="B284" s="40"/>
      <c r="D284" s="41"/>
      <c r="F284" s="41"/>
      <c r="G284" s="42"/>
    </row>
    <row r="285" spans="2:7" ht="14.25" customHeight="1">
      <c r="B285" s="40"/>
      <c r="D285" s="41"/>
      <c r="F285" s="41"/>
      <c r="G285" s="42"/>
    </row>
    <row r="286" spans="2:7" ht="14.25" customHeight="1">
      <c r="B286" s="40"/>
      <c r="D286" s="41"/>
      <c r="F286" s="41"/>
      <c r="G286" s="42"/>
    </row>
    <row r="287" spans="2:7" ht="14.25" customHeight="1">
      <c r="B287" s="40"/>
      <c r="D287" s="41"/>
      <c r="F287" s="41"/>
      <c r="G287" s="42"/>
    </row>
    <row r="288" spans="2:7" ht="14.25" customHeight="1">
      <c r="B288" s="40"/>
      <c r="D288" s="41"/>
      <c r="F288" s="41"/>
      <c r="G288" s="42"/>
    </row>
    <row r="289" spans="2:7" ht="14.25" customHeight="1">
      <c r="B289" s="40"/>
      <c r="D289" s="41"/>
      <c r="F289" s="41"/>
      <c r="G289" s="42"/>
    </row>
    <row r="290" spans="2:7" ht="14.25" customHeight="1">
      <c r="B290" s="40"/>
      <c r="D290" s="41"/>
      <c r="F290" s="41"/>
      <c r="G290" s="42"/>
    </row>
    <row r="291" spans="2:7" ht="14.25" customHeight="1">
      <c r="B291" s="40"/>
      <c r="D291" s="41"/>
      <c r="F291" s="41"/>
      <c r="G291" s="42"/>
    </row>
    <row r="292" spans="2:7" ht="14.25" customHeight="1">
      <c r="B292" s="40"/>
      <c r="D292" s="41"/>
      <c r="F292" s="41"/>
      <c r="G292" s="42"/>
    </row>
    <row r="293" spans="2:7" ht="14.25" customHeight="1">
      <c r="B293" s="40"/>
      <c r="D293" s="41"/>
      <c r="F293" s="41"/>
      <c r="G293" s="42"/>
    </row>
    <row r="294" spans="2:7" ht="14.25" customHeight="1">
      <c r="B294" s="40"/>
      <c r="D294" s="41"/>
      <c r="F294" s="41"/>
      <c r="G294" s="42"/>
    </row>
    <row r="295" spans="2:7" ht="14.25" customHeight="1">
      <c r="B295" s="40"/>
      <c r="D295" s="41"/>
      <c r="F295" s="41"/>
      <c r="G295" s="42"/>
    </row>
    <row r="296" spans="2:7" ht="14.25" customHeight="1">
      <c r="B296" s="40"/>
      <c r="D296" s="41"/>
      <c r="F296" s="41"/>
      <c r="G296" s="42"/>
    </row>
    <row r="297" spans="2:7" ht="14.25" customHeight="1">
      <c r="B297" s="40"/>
      <c r="D297" s="41"/>
      <c r="F297" s="41"/>
      <c r="G297" s="42"/>
    </row>
    <row r="298" spans="2:7" ht="14.25" customHeight="1">
      <c r="B298" s="40"/>
      <c r="D298" s="41"/>
      <c r="F298" s="41"/>
      <c r="G298" s="42"/>
    </row>
    <row r="299" spans="2:7" ht="14.25" customHeight="1">
      <c r="B299" s="40"/>
      <c r="D299" s="41"/>
      <c r="F299" s="41"/>
      <c r="G299" s="42"/>
    </row>
    <row r="300" spans="2:7" ht="14.25" customHeight="1">
      <c r="B300" s="40"/>
      <c r="D300" s="41"/>
      <c r="F300" s="41"/>
      <c r="G300" s="42"/>
    </row>
    <row r="301" spans="2:7" ht="14.25" customHeight="1">
      <c r="B301" s="40"/>
      <c r="D301" s="41"/>
      <c r="F301" s="41"/>
      <c r="G301" s="42"/>
    </row>
    <row r="302" spans="2:7" ht="14.25" customHeight="1">
      <c r="B302" s="40"/>
      <c r="D302" s="41"/>
      <c r="F302" s="41"/>
      <c r="G302" s="42"/>
    </row>
    <row r="303" spans="2:7" ht="14.25" customHeight="1">
      <c r="B303" s="40"/>
      <c r="D303" s="41"/>
      <c r="F303" s="41"/>
      <c r="G303" s="42"/>
    </row>
    <row r="304" spans="2:7" ht="14.25" customHeight="1">
      <c r="B304" s="40"/>
      <c r="D304" s="41"/>
      <c r="F304" s="41"/>
      <c r="G304" s="42"/>
    </row>
    <row r="305" spans="2:7" ht="14.25" customHeight="1">
      <c r="B305" s="40"/>
      <c r="D305" s="41"/>
      <c r="F305" s="41"/>
      <c r="G305" s="42"/>
    </row>
    <row r="306" spans="2:7" ht="14.25" customHeight="1">
      <c r="B306" s="40"/>
      <c r="D306" s="41"/>
      <c r="F306" s="41"/>
      <c r="G306" s="42"/>
    </row>
    <row r="307" spans="2:7" ht="14.25" customHeight="1">
      <c r="B307" s="40"/>
      <c r="D307" s="41"/>
      <c r="F307" s="41"/>
      <c r="G307" s="42"/>
    </row>
    <row r="308" spans="2:7" ht="14.25" customHeight="1">
      <c r="B308" s="40"/>
      <c r="D308" s="41"/>
      <c r="F308" s="41"/>
      <c r="G308" s="42"/>
    </row>
    <row r="309" spans="2:7" ht="14.25" customHeight="1">
      <c r="B309" s="40"/>
      <c r="D309" s="41"/>
      <c r="F309" s="41"/>
      <c r="G309" s="42"/>
    </row>
    <row r="310" spans="2:7" ht="14.25" customHeight="1">
      <c r="B310" s="40"/>
      <c r="D310" s="41"/>
      <c r="F310" s="41"/>
      <c r="G310" s="42"/>
    </row>
    <row r="311" spans="2:7" ht="14.25" customHeight="1">
      <c r="B311" s="40"/>
      <c r="D311" s="41"/>
      <c r="F311" s="41"/>
      <c r="G311" s="42"/>
    </row>
    <row r="312" spans="2:7" ht="14.25" customHeight="1">
      <c r="B312" s="40"/>
      <c r="D312" s="41"/>
      <c r="F312" s="41"/>
      <c r="G312" s="42"/>
    </row>
    <row r="313" spans="2:7" ht="14.25" customHeight="1">
      <c r="B313" s="40"/>
      <c r="D313" s="41"/>
      <c r="F313" s="41"/>
      <c r="G313" s="42"/>
    </row>
    <row r="314" spans="2:7" ht="14.25" customHeight="1">
      <c r="B314" s="40"/>
      <c r="D314" s="41"/>
      <c r="F314" s="41"/>
      <c r="G314" s="42"/>
    </row>
    <row r="315" spans="2:7" ht="14.25" customHeight="1">
      <c r="B315" s="40"/>
      <c r="D315" s="41"/>
      <c r="F315" s="41"/>
      <c r="G315" s="42"/>
    </row>
    <row r="316" spans="2:7" ht="14.25" customHeight="1">
      <c r="B316" s="40"/>
      <c r="D316" s="41"/>
      <c r="F316" s="41"/>
      <c r="G316" s="42"/>
    </row>
    <row r="317" spans="2:7" ht="14.25" customHeight="1">
      <c r="B317" s="40"/>
      <c r="D317" s="41"/>
      <c r="F317" s="41"/>
      <c r="G317" s="42"/>
    </row>
    <row r="318" spans="2:7" ht="14.25" customHeight="1">
      <c r="B318" s="40"/>
      <c r="D318" s="41"/>
      <c r="F318" s="41"/>
      <c r="G318" s="42"/>
    </row>
    <row r="319" spans="2:7" ht="14.25" customHeight="1">
      <c r="B319" s="40"/>
      <c r="D319" s="41"/>
      <c r="F319" s="41"/>
      <c r="G319" s="42"/>
    </row>
    <row r="320" spans="2:7" ht="14.25" customHeight="1">
      <c r="B320" s="40"/>
      <c r="D320" s="41"/>
      <c r="F320" s="41"/>
      <c r="G320" s="42"/>
    </row>
    <row r="321" spans="2:7" ht="14.25" customHeight="1">
      <c r="B321" s="40"/>
      <c r="D321" s="41"/>
      <c r="F321" s="41"/>
      <c r="G321" s="42"/>
    </row>
    <row r="322" spans="2:7" ht="14.25" customHeight="1">
      <c r="B322" s="40"/>
      <c r="D322" s="41"/>
      <c r="F322" s="41"/>
      <c r="G322" s="42"/>
    </row>
    <row r="323" spans="2:7" ht="14.25" customHeight="1">
      <c r="B323" s="40"/>
      <c r="D323" s="41"/>
      <c r="F323" s="41"/>
      <c r="G323" s="42"/>
    </row>
    <row r="324" spans="2:7" ht="14.25" customHeight="1">
      <c r="B324" s="40"/>
      <c r="D324" s="41"/>
      <c r="F324" s="41"/>
      <c r="G324" s="42"/>
    </row>
    <row r="325" spans="2:7" ht="14.25" customHeight="1">
      <c r="B325" s="40"/>
      <c r="D325" s="41"/>
      <c r="F325" s="41"/>
      <c r="G325" s="42"/>
    </row>
    <row r="326" spans="2:7" ht="14.25" customHeight="1">
      <c r="B326" s="40"/>
      <c r="D326" s="41"/>
      <c r="F326" s="41"/>
      <c r="G326" s="42"/>
    </row>
    <row r="327" spans="2:7" ht="14.25" customHeight="1">
      <c r="B327" s="40"/>
      <c r="D327" s="41"/>
      <c r="F327" s="41"/>
      <c r="G327" s="42"/>
    </row>
    <row r="328" spans="2:7" ht="14.25" customHeight="1">
      <c r="B328" s="40"/>
      <c r="D328" s="41"/>
      <c r="F328" s="41"/>
      <c r="G328" s="42"/>
    </row>
    <row r="329" spans="2:7" ht="14.25" customHeight="1">
      <c r="B329" s="40"/>
      <c r="D329" s="41"/>
      <c r="F329" s="41"/>
      <c r="G329" s="42"/>
    </row>
    <row r="330" spans="2:7" ht="14.25" customHeight="1">
      <c r="B330" s="40"/>
      <c r="D330" s="41"/>
      <c r="F330" s="41"/>
      <c r="G330" s="42"/>
    </row>
    <row r="331" spans="2:7" ht="14.25" customHeight="1">
      <c r="B331" s="40"/>
      <c r="D331" s="41"/>
      <c r="F331" s="41"/>
      <c r="G331" s="42"/>
    </row>
    <row r="332" spans="2:7" ht="14.25" customHeight="1">
      <c r="B332" s="40"/>
      <c r="D332" s="41"/>
      <c r="F332" s="41"/>
      <c r="G332" s="42"/>
    </row>
    <row r="333" spans="2:7" ht="14.25" customHeight="1">
      <c r="B333" s="40"/>
      <c r="D333" s="41"/>
      <c r="F333" s="41"/>
      <c r="G333" s="42"/>
    </row>
    <row r="334" spans="2:7" ht="14.25" customHeight="1">
      <c r="B334" s="40"/>
      <c r="D334" s="41"/>
      <c r="F334" s="41"/>
      <c r="G334" s="42"/>
    </row>
    <row r="335" spans="2:7" ht="14.25" customHeight="1">
      <c r="B335" s="40"/>
      <c r="D335" s="41"/>
      <c r="F335" s="41"/>
      <c r="G335" s="42"/>
    </row>
    <row r="336" spans="2:7" ht="14.25" customHeight="1">
      <c r="B336" s="40"/>
      <c r="D336" s="41"/>
      <c r="F336" s="41"/>
      <c r="G336" s="42"/>
    </row>
    <row r="337" spans="2:7" ht="14.25" customHeight="1">
      <c r="B337" s="40"/>
      <c r="D337" s="41"/>
      <c r="F337" s="41"/>
      <c r="G337" s="42"/>
    </row>
    <row r="338" spans="2:7" ht="14.25" customHeight="1">
      <c r="B338" s="40"/>
      <c r="D338" s="41"/>
      <c r="F338" s="41"/>
      <c r="G338" s="42"/>
    </row>
    <row r="339" spans="2:7" ht="14.25" customHeight="1">
      <c r="B339" s="40"/>
      <c r="D339" s="41"/>
      <c r="F339" s="41"/>
      <c r="G339" s="42"/>
    </row>
    <row r="340" spans="2:7" ht="14.25" customHeight="1">
      <c r="B340" s="40"/>
      <c r="D340" s="41"/>
      <c r="F340" s="41"/>
      <c r="G340" s="42"/>
    </row>
    <row r="341" spans="2:7" ht="14.25" customHeight="1">
      <c r="B341" s="40"/>
      <c r="D341" s="41"/>
      <c r="F341" s="41"/>
      <c r="G341" s="42"/>
    </row>
    <row r="342" spans="2:7" ht="14.25" customHeight="1">
      <c r="B342" s="40"/>
      <c r="D342" s="41"/>
      <c r="F342" s="41"/>
      <c r="G342" s="42"/>
    </row>
    <row r="343" spans="2:7" ht="14.25" customHeight="1">
      <c r="B343" s="40"/>
      <c r="D343" s="41"/>
      <c r="F343" s="41"/>
      <c r="G343" s="42"/>
    </row>
    <row r="344" spans="2:7" ht="14.25" customHeight="1">
      <c r="B344" s="40"/>
      <c r="D344" s="41"/>
      <c r="F344" s="41"/>
      <c r="G344" s="42"/>
    </row>
    <row r="345" spans="2:7" ht="14.25" customHeight="1">
      <c r="B345" s="40"/>
      <c r="D345" s="41"/>
      <c r="F345" s="41"/>
      <c r="G345" s="42"/>
    </row>
    <row r="346" spans="2:7" ht="14.25" customHeight="1">
      <c r="B346" s="40"/>
      <c r="D346" s="41"/>
      <c r="F346" s="41"/>
      <c r="G346" s="42"/>
    </row>
    <row r="347" spans="2:7" ht="14.25" customHeight="1">
      <c r="B347" s="40"/>
      <c r="D347" s="41"/>
      <c r="F347" s="41"/>
      <c r="G347" s="42"/>
    </row>
    <row r="348" spans="2:7" ht="14.25" customHeight="1">
      <c r="B348" s="40"/>
      <c r="D348" s="41"/>
      <c r="F348" s="41"/>
      <c r="G348" s="42"/>
    </row>
    <row r="349" spans="2:7" ht="14.25" customHeight="1">
      <c r="B349" s="40"/>
      <c r="D349" s="41"/>
      <c r="F349" s="41"/>
      <c r="G349" s="42"/>
    </row>
    <row r="350" spans="2:7" ht="14.25" customHeight="1">
      <c r="B350" s="40"/>
      <c r="D350" s="41"/>
      <c r="F350" s="41"/>
      <c r="G350" s="42"/>
    </row>
    <row r="351" spans="2:7" ht="14.25" customHeight="1">
      <c r="B351" s="40"/>
      <c r="D351" s="41"/>
      <c r="F351" s="41"/>
      <c r="G351" s="42"/>
    </row>
    <row r="352" spans="2:7" ht="14.25" customHeight="1">
      <c r="B352" s="40"/>
      <c r="D352" s="41"/>
      <c r="F352" s="41"/>
      <c r="G352" s="42"/>
    </row>
    <row r="353" spans="2:7" ht="14.25" customHeight="1">
      <c r="B353" s="40"/>
      <c r="D353" s="41"/>
      <c r="F353" s="41"/>
      <c r="G353" s="42"/>
    </row>
    <row r="354" spans="2:7" ht="14.25" customHeight="1">
      <c r="B354" s="40"/>
      <c r="D354" s="41"/>
      <c r="F354" s="41"/>
      <c r="G354" s="42"/>
    </row>
    <row r="355" spans="2:7" ht="14.25" customHeight="1">
      <c r="B355" s="40"/>
      <c r="D355" s="41"/>
      <c r="F355" s="41"/>
      <c r="G355" s="42"/>
    </row>
    <row r="356" spans="2:7" ht="14.25" customHeight="1">
      <c r="B356" s="40"/>
      <c r="D356" s="41"/>
      <c r="F356" s="41"/>
      <c r="G356" s="42"/>
    </row>
    <row r="357" spans="2:7" ht="14.25" customHeight="1">
      <c r="B357" s="40"/>
      <c r="D357" s="41"/>
      <c r="F357" s="41"/>
      <c r="G357" s="42"/>
    </row>
    <row r="358" spans="2:7" ht="14.25" customHeight="1">
      <c r="B358" s="40"/>
      <c r="D358" s="41"/>
      <c r="F358" s="41"/>
      <c r="G358" s="42"/>
    </row>
    <row r="359" spans="2:7" ht="14.25" customHeight="1">
      <c r="B359" s="40"/>
      <c r="D359" s="41"/>
      <c r="F359" s="41"/>
      <c r="G359" s="42"/>
    </row>
    <row r="360" spans="2:7" ht="14.25" customHeight="1">
      <c r="B360" s="40"/>
      <c r="D360" s="41"/>
      <c r="F360" s="41"/>
      <c r="G360" s="42"/>
    </row>
    <row r="361" spans="2:7" ht="14.25" customHeight="1">
      <c r="B361" s="40"/>
      <c r="D361" s="41"/>
      <c r="F361" s="41"/>
      <c r="G361" s="42"/>
    </row>
    <row r="362" spans="2:7" ht="14.25" customHeight="1">
      <c r="B362" s="40"/>
      <c r="D362" s="41"/>
      <c r="F362" s="41"/>
      <c r="G362" s="42"/>
    </row>
    <row r="363" spans="2:7" ht="14.25" customHeight="1">
      <c r="B363" s="40"/>
      <c r="D363" s="41"/>
      <c r="F363" s="41"/>
      <c r="G363" s="42"/>
    </row>
    <row r="364" spans="2:7" ht="14.25" customHeight="1">
      <c r="B364" s="40"/>
      <c r="D364" s="41"/>
      <c r="F364" s="41"/>
      <c r="G364" s="42"/>
    </row>
    <row r="365" spans="2:7" ht="14.25" customHeight="1">
      <c r="B365" s="40"/>
      <c r="D365" s="41"/>
      <c r="F365" s="41"/>
      <c r="G365" s="42"/>
    </row>
    <row r="366" spans="2:7" ht="14.25" customHeight="1">
      <c r="B366" s="40"/>
      <c r="D366" s="41"/>
      <c r="F366" s="41"/>
      <c r="G366" s="42"/>
    </row>
    <row r="367" spans="2:7" ht="14.25" customHeight="1">
      <c r="B367" s="40"/>
      <c r="D367" s="41"/>
      <c r="F367" s="41"/>
      <c r="G367" s="42"/>
    </row>
    <row r="368" spans="2:7" ht="14.25" customHeight="1">
      <c r="B368" s="40"/>
      <c r="D368" s="41"/>
      <c r="F368" s="41"/>
      <c r="G368" s="42"/>
    </row>
    <row r="369" spans="2:7" ht="14.25" customHeight="1">
      <c r="B369" s="40"/>
      <c r="D369" s="41"/>
      <c r="F369" s="41"/>
      <c r="G369" s="42"/>
    </row>
    <row r="370" spans="2:7" ht="14.25" customHeight="1">
      <c r="B370" s="40"/>
      <c r="D370" s="41"/>
      <c r="F370" s="41"/>
      <c r="G370" s="42"/>
    </row>
    <row r="371" spans="2:7" ht="14.25" customHeight="1">
      <c r="B371" s="40"/>
      <c r="D371" s="41"/>
      <c r="F371" s="41"/>
      <c r="G371" s="42"/>
    </row>
    <row r="372" spans="2:7" ht="14.25" customHeight="1">
      <c r="B372" s="40"/>
      <c r="D372" s="41"/>
      <c r="F372" s="41"/>
      <c r="G372" s="42"/>
    </row>
    <row r="373" spans="2:7" ht="14.25" customHeight="1">
      <c r="B373" s="40"/>
      <c r="D373" s="41"/>
      <c r="F373" s="41"/>
      <c r="G373" s="42"/>
    </row>
    <row r="374" spans="2:7" ht="14.25" customHeight="1">
      <c r="B374" s="40"/>
      <c r="D374" s="41"/>
      <c r="F374" s="41"/>
      <c r="G374" s="42"/>
    </row>
    <row r="375" spans="2:7" ht="14.25" customHeight="1">
      <c r="B375" s="40"/>
      <c r="D375" s="41"/>
      <c r="F375" s="41"/>
      <c r="G375" s="42"/>
    </row>
    <row r="376" spans="2:7" ht="14.25" customHeight="1">
      <c r="B376" s="40"/>
      <c r="D376" s="41"/>
      <c r="F376" s="41"/>
      <c r="G376" s="42"/>
    </row>
    <row r="377" spans="2:7" ht="14.25" customHeight="1">
      <c r="B377" s="40"/>
      <c r="D377" s="41"/>
      <c r="F377" s="41"/>
      <c r="G377" s="42"/>
    </row>
    <row r="378" spans="2:7" ht="14.25" customHeight="1">
      <c r="B378" s="40"/>
      <c r="D378" s="41"/>
      <c r="F378" s="41"/>
      <c r="G378" s="42"/>
    </row>
    <row r="379" spans="2:7" ht="14.25" customHeight="1">
      <c r="B379" s="40"/>
      <c r="D379" s="41"/>
      <c r="F379" s="41"/>
      <c r="G379" s="42"/>
    </row>
    <row r="380" spans="2:7" ht="14.25" customHeight="1">
      <c r="B380" s="40"/>
      <c r="D380" s="41"/>
      <c r="F380" s="41"/>
      <c r="G380" s="42"/>
    </row>
    <row r="381" spans="2:7" ht="14.25" customHeight="1">
      <c r="B381" s="40"/>
      <c r="D381" s="41"/>
      <c r="F381" s="41"/>
      <c r="G381" s="42"/>
    </row>
    <row r="382" spans="2:7" ht="14.25" customHeight="1">
      <c r="B382" s="40"/>
      <c r="D382" s="41"/>
      <c r="F382" s="41"/>
      <c r="G382" s="42"/>
    </row>
    <row r="383" spans="2:7" ht="14.25" customHeight="1">
      <c r="B383" s="40"/>
      <c r="D383" s="41"/>
      <c r="F383" s="41"/>
      <c r="G383" s="42"/>
    </row>
    <row r="384" spans="2:7" ht="14.25" customHeight="1">
      <c r="B384" s="40"/>
      <c r="D384" s="41"/>
      <c r="F384" s="41"/>
      <c r="G384" s="42"/>
    </row>
    <row r="385" spans="2:7" ht="14.25" customHeight="1">
      <c r="B385" s="40"/>
      <c r="D385" s="41"/>
      <c r="F385" s="41"/>
      <c r="G385" s="42"/>
    </row>
    <row r="386" spans="2:7" ht="14.25" customHeight="1">
      <c r="B386" s="40"/>
      <c r="D386" s="41"/>
      <c r="F386" s="41"/>
      <c r="G386" s="42"/>
    </row>
    <row r="387" spans="2:7" ht="14.25" customHeight="1">
      <c r="B387" s="40"/>
      <c r="D387" s="41"/>
      <c r="F387" s="41"/>
      <c r="G387" s="42"/>
    </row>
    <row r="388" spans="2:7" ht="14.25" customHeight="1">
      <c r="B388" s="40"/>
      <c r="D388" s="41"/>
      <c r="F388" s="41"/>
      <c r="G388" s="42"/>
    </row>
    <row r="389" spans="2:7" ht="14.25" customHeight="1">
      <c r="B389" s="40"/>
      <c r="D389" s="41"/>
      <c r="F389" s="41"/>
      <c r="G389" s="42"/>
    </row>
    <row r="390" spans="2:7" ht="14.25" customHeight="1">
      <c r="B390" s="40"/>
      <c r="D390" s="41"/>
      <c r="F390" s="41"/>
      <c r="G390" s="42"/>
    </row>
    <row r="391" spans="2:7" ht="14.25" customHeight="1">
      <c r="B391" s="40"/>
      <c r="D391" s="41"/>
      <c r="F391" s="41"/>
      <c r="G391" s="42"/>
    </row>
    <row r="392" spans="2:7" ht="14.25" customHeight="1">
      <c r="B392" s="40"/>
      <c r="D392" s="41"/>
      <c r="F392" s="41"/>
      <c r="G392" s="42"/>
    </row>
    <row r="393" spans="2:7" ht="14.25" customHeight="1">
      <c r="B393" s="40"/>
      <c r="D393" s="41"/>
      <c r="F393" s="41"/>
      <c r="G393" s="42"/>
    </row>
    <row r="394" spans="2:7" ht="14.25" customHeight="1">
      <c r="B394" s="40"/>
      <c r="D394" s="41"/>
      <c r="F394" s="41"/>
      <c r="G394" s="42"/>
    </row>
    <row r="395" spans="2:7" ht="14.25" customHeight="1">
      <c r="B395" s="40"/>
      <c r="D395" s="41"/>
      <c r="F395" s="41"/>
      <c r="G395" s="42"/>
    </row>
    <row r="396" spans="2:7" ht="14.25" customHeight="1">
      <c r="B396" s="40"/>
      <c r="D396" s="41"/>
      <c r="F396" s="41"/>
      <c r="G396" s="42"/>
    </row>
    <row r="397" spans="2:7" ht="14.25" customHeight="1">
      <c r="B397" s="40"/>
      <c r="D397" s="41"/>
      <c r="F397" s="41"/>
      <c r="G397" s="42"/>
    </row>
    <row r="398" spans="2:7" ht="14.25" customHeight="1">
      <c r="B398" s="40"/>
      <c r="D398" s="41"/>
      <c r="F398" s="41"/>
      <c r="G398" s="42"/>
    </row>
    <row r="399" spans="2:7" ht="14.25" customHeight="1">
      <c r="B399" s="40"/>
      <c r="D399" s="41"/>
      <c r="F399" s="41"/>
      <c r="G399" s="42"/>
    </row>
    <row r="400" spans="2:7" ht="14.25" customHeight="1">
      <c r="B400" s="40"/>
      <c r="D400" s="41"/>
      <c r="F400" s="41"/>
      <c r="G400" s="42"/>
    </row>
    <row r="401" spans="2:7" ht="14.25" customHeight="1">
      <c r="B401" s="40"/>
      <c r="D401" s="41"/>
      <c r="F401" s="41"/>
      <c r="G401" s="42"/>
    </row>
    <row r="402" spans="2:7" ht="14.25" customHeight="1">
      <c r="B402" s="40"/>
      <c r="D402" s="41"/>
      <c r="F402" s="41"/>
      <c r="G402" s="42"/>
    </row>
    <row r="403" spans="2:7" ht="14.25" customHeight="1">
      <c r="B403" s="40"/>
      <c r="D403" s="41"/>
      <c r="F403" s="41"/>
      <c r="G403" s="42"/>
    </row>
    <row r="404" spans="2:7" ht="14.25" customHeight="1">
      <c r="B404" s="40"/>
      <c r="D404" s="41"/>
      <c r="F404" s="41"/>
      <c r="G404" s="42"/>
    </row>
    <row r="405" spans="2:7" ht="14.25" customHeight="1">
      <c r="B405" s="40"/>
      <c r="D405" s="41"/>
      <c r="F405" s="41"/>
      <c r="G405" s="42"/>
    </row>
    <row r="406" spans="2:7" ht="14.25" customHeight="1">
      <c r="B406" s="40"/>
      <c r="D406" s="41"/>
      <c r="F406" s="41"/>
      <c r="G406" s="42"/>
    </row>
    <row r="407" spans="2:7" ht="14.25" customHeight="1">
      <c r="B407" s="40"/>
      <c r="D407" s="41"/>
      <c r="F407" s="41"/>
      <c r="G407" s="42"/>
    </row>
    <row r="408" spans="2:7" ht="14.25" customHeight="1">
      <c r="B408" s="40"/>
      <c r="D408" s="41"/>
      <c r="F408" s="41"/>
      <c r="G408" s="42"/>
    </row>
    <row r="409" spans="2:7" ht="14.25" customHeight="1">
      <c r="B409" s="40"/>
      <c r="D409" s="41"/>
      <c r="F409" s="41"/>
      <c r="G409" s="42"/>
    </row>
    <row r="410" spans="2:7" ht="14.25" customHeight="1">
      <c r="B410" s="40"/>
      <c r="D410" s="41"/>
      <c r="F410" s="41"/>
      <c r="G410" s="42"/>
    </row>
    <row r="411" spans="2:7" ht="14.25" customHeight="1">
      <c r="B411" s="40"/>
      <c r="D411" s="41"/>
      <c r="F411" s="41"/>
      <c r="G411" s="42"/>
    </row>
    <row r="412" spans="2:7" ht="14.25" customHeight="1">
      <c r="B412" s="40"/>
      <c r="D412" s="41"/>
      <c r="F412" s="41"/>
      <c r="G412" s="42"/>
    </row>
    <row r="413" spans="2:7" ht="14.25" customHeight="1">
      <c r="B413" s="40"/>
      <c r="D413" s="41"/>
      <c r="F413" s="41"/>
      <c r="G413" s="42"/>
    </row>
    <row r="414" spans="2:7" ht="14.25" customHeight="1">
      <c r="B414" s="40"/>
      <c r="D414" s="41"/>
      <c r="F414" s="41"/>
      <c r="G414" s="42"/>
    </row>
    <row r="415" spans="2:7" ht="14.25" customHeight="1">
      <c r="B415" s="40"/>
      <c r="D415" s="41"/>
      <c r="F415" s="41"/>
      <c r="G415" s="42"/>
    </row>
    <row r="416" spans="2:7" ht="14.25" customHeight="1">
      <c r="B416" s="40"/>
      <c r="D416" s="41"/>
      <c r="F416" s="41"/>
      <c r="G416" s="42"/>
    </row>
    <row r="417" spans="2:7" ht="14.25" customHeight="1">
      <c r="B417" s="40"/>
      <c r="D417" s="41"/>
      <c r="F417" s="41"/>
      <c r="G417" s="42"/>
    </row>
    <row r="418" spans="2:7" ht="14.25" customHeight="1">
      <c r="B418" s="40"/>
      <c r="D418" s="41"/>
      <c r="F418" s="41"/>
      <c r="G418" s="42"/>
    </row>
    <row r="419" spans="2:7" ht="14.25" customHeight="1">
      <c r="B419" s="40"/>
      <c r="D419" s="41"/>
      <c r="F419" s="41"/>
      <c r="G419" s="42"/>
    </row>
    <row r="420" spans="2:7" ht="14.25" customHeight="1">
      <c r="B420" s="40"/>
      <c r="D420" s="41"/>
      <c r="F420" s="41"/>
      <c r="G420" s="42"/>
    </row>
    <row r="421" spans="2:7" ht="14.25" customHeight="1">
      <c r="B421" s="40"/>
      <c r="D421" s="41"/>
      <c r="F421" s="41"/>
      <c r="G421" s="42"/>
    </row>
    <row r="422" spans="2:7" ht="14.25" customHeight="1">
      <c r="B422" s="40"/>
      <c r="D422" s="41"/>
      <c r="F422" s="41"/>
      <c r="G422" s="42"/>
    </row>
    <row r="423" spans="2:7" ht="14.25" customHeight="1">
      <c r="B423" s="40"/>
      <c r="D423" s="41"/>
      <c r="F423" s="41"/>
      <c r="G423" s="42"/>
    </row>
    <row r="424" spans="2:7" ht="14.25" customHeight="1">
      <c r="B424" s="40"/>
      <c r="D424" s="41"/>
      <c r="F424" s="41"/>
      <c r="G424" s="42"/>
    </row>
    <row r="425" spans="2:7" ht="14.25" customHeight="1">
      <c r="B425" s="40"/>
      <c r="D425" s="41"/>
      <c r="F425" s="41"/>
      <c r="G425" s="42"/>
    </row>
    <row r="426" spans="2:7" ht="14.25" customHeight="1">
      <c r="B426" s="40"/>
      <c r="D426" s="41"/>
      <c r="F426" s="41"/>
      <c r="G426" s="42"/>
    </row>
    <row r="427" spans="2:7" ht="14.25" customHeight="1">
      <c r="B427" s="40"/>
      <c r="D427" s="41"/>
      <c r="F427" s="41"/>
      <c r="G427" s="42"/>
    </row>
    <row r="428" spans="2:7" ht="14.25" customHeight="1">
      <c r="B428" s="40"/>
      <c r="D428" s="41"/>
      <c r="F428" s="41"/>
      <c r="G428" s="42"/>
    </row>
    <row r="429" spans="2:7" ht="14.25" customHeight="1">
      <c r="B429" s="40"/>
      <c r="D429" s="41"/>
      <c r="F429" s="41"/>
      <c r="G429" s="42"/>
    </row>
    <row r="430" spans="2:7" ht="14.25" customHeight="1">
      <c r="B430" s="40"/>
      <c r="D430" s="41"/>
      <c r="F430" s="41"/>
      <c r="G430" s="42"/>
    </row>
    <row r="431" spans="2:7" ht="14.25" customHeight="1">
      <c r="B431" s="40"/>
      <c r="D431" s="41"/>
      <c r="F431" s="41"/>
      <c r="G431" s="42"/>
    </row>
    <row r="432" spans="2:7" ht="14.25" customHeight="1">
      <c r="B432" s="40"/>
      <c r="D432" s="41"/>
      <c r="F432" s="41"/>
      <c r="G432" s="42"/>
    </row>
    <row r="433" spans="2:7" ht="14.25" customHeight="1">
      <c r="B433" s="40"/>
      <c r="D433" s="41"/>
      <c r="F433" s="41"/>
      <c r="G433" s="42"/>
    </row>
    <row r="434" spans="2:7" ht="14.25" customHeight="1">
      <c r="B434" s="40"/>
      <c r="D434" s="41"/>
      <c r="F434" s="41"/>
      <c r="G434" s="42"/>
    </row>
    <row r="435" spans="2:7" ht="14.25" customHeight="1">
      <c r="B435" s="40"/>
      <c r="D435" s="41"/>
      <c r="F435" s="41"/>
      <c r="G435" s="42"/>
    </row>
    <row r="436" spans="2:7" ht="14.25" customHeight="1">
      <c r="B436" s="40"/>
      <c r="D436" s="41"/>
      <c r="F436" s="41"/>
      <c r="G436" s="42"/>
    </row>
    <row r="437" spans="2:7" ht="14.25" customHeight="1">
      <c r="B437" s="40"/>
      <c r="D437" s="41"/>
      <c r="F437" s="41"/>
      <c r="G437" s="42"/>
    </row>
    <row r="438" spans="2:7" ht="14.25" customHeight="1">
      <c r="B438" s="40"/>
      <c r="D438" s="41"/>
      <c r="F438" s="41"/>
      <c r="G438" s="42"/>
    </row>
    <row r="439" spans="2:7" ht="14.25" customHeight="1">
      <c r="B439" s="40"/>
      <c r="D439" s="41"/>
      <c r="F439" s="41"/>
      <c r="G439" s="42"/>
    </row>
    <row r="440" spans="2:7" ht="14.25" customHeight="1">
      <c r="B440" s="40"/>
      <c r="D440" s="41"/>
      <c r="F440" s="41"/>
      <c r="G440" s="42"/>
    </row>
    <row r="441" spans="2:7" ht="14.25" customHeight="1">
      <c r="B441" s="40"/>
      <c r="D441" s="41"/>
      <c r="F441" s="41"/>
      <c r="G441" s="42"/>
    </row>
    <row r="442" spans="2:7" ht="14.25" customHeight="1">
      <c r="B442" s="40"/>
      <c r="D442" s="41"/>
      <c r="F442" s="41"/>
      <c r="G442" s="42"/>
    </row>
    <row r="443" spans="2:7" ht="14.25" customHeight="1">
      <c r="B443" s="40"/>
      <c r="D443" s="41"/>
      <c r="F443" s="41"/>
      <c r="G443" s="42"/>
    </row>
    <row r="444" spans="2:7" ht="14.25" customHeight="1">
      <c r="B444" s="40"/>
      <c r="D444" s="41"/>
      <c r="F444" s="41"/>
      <c r="G444" s="42"/>
    </row>
    <row r="445" spans="2:7" ht="14.25" customHeight="1">
      <c r="B445" s="40"/>
      <c r="D445" s="41"/>
      <c r="F445" s="41"/>
      <c r="G445" s="42"/>
    </row>
    <row r="446" spans="2:7" ht="14.25" customHeight="1">
      <c r="B446" s="40"/>
      <c r="D446" s="41"/>
      <c r="F446" s="41"/>
      <c r="G446" s="42"/>
    </row>
    <row r="447" spans="2:7" ht="14.25" customHeight="1">
      <c r="B447" s="40"/>
      <c r="D447" s="41"/>
      <c r="F447" s="41"/>
      <c r="G447" s="42"/>
    </row>
    <row r="448" spans="2:7" ht="14.25" customHeight="1">
      <c r="B448" s="40"/>
      <c r="D448" s="41"/>
      <c r="F448" s="41"/>
      <c r="G448" s="42"/>
    </row>
    <row r="449" spans="2:7" ht="14.25" customHeight="1">
      <c r="B449" s="40"/>
      <c r="D449" s="41"/>
      <c r="F449" s="41"/>
      <c r="G449" s="42"/>
    </row>
    <row r="450" spans="2:7" ht="14.25" customHeight="1">
      <c r="B450" s="40"/>
      <c r="D450" s="41"/>
      <c r="F450" s="41"/>
      <c r="G450" s="42"/>
    </row>
    <row r="451" spans="2:7" ht="14.25" customHeight="1">
      <c r="B451" s="40"/>
      <c r="D451" s="41"/>
      <c r="F451" s="41"/>
      <c r="G451" s="42"/>
    </row>
    <row r="452" spans="2:7" ht="14.25" customHeight="1">
      <c r="B452" s="40"/>
      <c r="D452" s="41"/>
      <c r="F452" s="41"/>
      <c r="G452" s="42"/>
    </row>
    <row r="453" spans="2:7" ht="14.25" customHeight="1">
      <c r="B453" s="40"/>
      <c r="D453" s="41"/>
      <c r="F453" s="41"/>
      <c r="G453" s="42"/>
    </row>
    <row r="454" spans="2:7" ht="14.25" customHeight="1">
      <c r="B454" s="40"/>
      <c r="D454" s="41"/>
      <c r="F454" s="41"/>
      <c r="G454" s="42"/>
    </row>
    <row r="455" spans="2:7" ht="14.25" customHeight="1">
      <c r="B455" s="40"/>
      <c r="D455" s="41"/>
      <c r="F455" s="41"/>
      <c r="G455" s="42"/>
    </row>
    <row r="456" spans="2:7" ht="14.25" customHeight="1">
      <c r="B456" s="40"/>
      <c r="D456" s="41"/>
      <c r="F456" s="41"/>
      <c r="G456" s="42"/>
    </row>
    <row r="457" spans="2:7" ht="14.25" customHeight="1">
      <c r="B457" s="40"/>
      <c r="D457" s="41"/>
      <c r="F457" s="41"/>
      <c r="G457" s="42"/>
    </row>
    <row r="458" spans="2:7" ht="14.25" customHeight="1">
      <c r="B458" s="40"/>
      <c r="D458" s="41"/>
      <c r="F458" s="41"/>
      <c r="G458" s="42"/>
    </row>
    <row r="459" spans="2:7" ht="14.25" customHeight="1">
      <c r="B459" s="40"/>
      <c r="D459" s="41"/>
      <c r="F459" s="41"/>
      <c r="G459" s="42"/>
    </row>
    <row r="460" spans="2:7" ht="14.25" customHeight="1">
      <c r="B460" s="40"/>
      <c r="D460" s="41"/>
      <c r="F460" s="41"/>
      <c r="G460" s="42"/>
    </row>
    <row r="461" spans="2:7" ht="14.25" customHeight="1">
      <c r="B461" s="40"/>
      <c r="D461" s="41"/>
      <c r="F461" s="41"/>
      <c r="G461" s="42"/>
    </row>
    <row r="462" spans="2:7" ht="14.25" customHeight="1">
      <c r="B462" s="40"/>
      <c r="D462" s="41"/>
      <c r="F462" s="41"/>
      <c r="G462" s="42"/>
    </row>
    <row r="463" spans="2:7" ht="14.25" customHeight="1">
      <c r="B463" s="40"/>
      <c r="D463" s="41"/>
      <c r="F463" s="41"/>
      <c r="G463" s="42"/>
    </row>
    <row r="464" spans="2:7" ht="14.25" customHeight="1">
      <c r="B464" s="40"/>
      <c r="D464" s="41"/>
      <c r="F464" s="41"/>
      <c r="G464" s="42"/>
    </row>
    <row r="465" spans="2:7" ht="14.25" customHeight="1">
      <c r="B465" s="40"/>
      <c r="D465" s="41"/>
      <c r="F465" s="41"/>
      <c r="G465" s="42"/>
    </row>
    <row r="466" spans="2:7" ht="14.25" customHeight="1">
      <c r="B466" s="40"/>
      <c r="D466" s="41"/>
      <c r="F466" s="41"/>
      <c r="G466" s="42"/>
    </row>
    <row r="467" spans="2:7" ht="14.25" customHeight="1">
      <c r="B467" s="40"/>
      <c r="D467" s="41"/>
      <c r="F467" s="41"/>
      <c r="G467" s="42"/>
    </row>
    <row r="468" spans="2:7" ht="14.25" customHeight="1">
      <c r="B468" s="40"/>
      <c r="D468" s="41"/>
      <c r="F468" s="41"/>
      <c r="G468" s="42"/>
    </row>
    <row r="469" spans="2:7" ht="14.25" customHeight="1">
      <c r="B469" s="40"/>
      <c r="D469" s="41"/>
      <c r="F469" s="41"/>
      <c r="G469" s="42"/>
    </row>
    <row r="470" spans="2:7" ht="14.25" customHeight="1">
      <c r="B470" s="40"/>
      <c r="D470" s="41"/>
      <c r="F470" s="41"/>
      <c r="G470" s="42"/>
    </row>
    <row r="471" spans="2:7" ht="14.25" customHeight="1">
      <c r="B471" s="40"/>
      <c r="D471" s="41"/>
      <c r="F471" s="41"/>
      <c r="G471" s="42"/>
    </row>
    <row r="472" spans="2:7" ht="14.25" customHeight="1">
      <c r="B472" s="40"/>
      <c r="D472" s="41"/>
      <c r="F472" s="41"/>
      <c r="G472" s="42"/>
    </row>
    <row r="473" spans="2:7" ht="14.25" customHeight="1">
      <c r="B473" s="40"/>
      <c r="D473" s="41"/>
      <c r="F473" s="41"/>
      <c r="G473" s="42"/>
    </row>
    <row r="474" spans="2:7" ht="14.25" customHeight="1">
      <c r="B474" s="40"/>
      <c r="D474" s="41"/>
      <c r="F474" s="41"/>
      <c r="G474" s="42"/>
    </row>
    <row r="475" spans="2:7" ht="14.25" customHeight="1">
      <c r="B475" s="40"/>
      <c r="D475" s="41"/>
      <c r="F475" s="41"/>
      <c r="G475" s="42"/>
    </row>
    <row r="476" spans="2:7" ht="14.25" customHeight="1">
      <c r="B476" s="40"/>
      <c r="D476" s="41"/>
      <c r="F476" s="41"/>
      <c r="G476" s="42"/>
    </row>
    <row r="477" spans="2:7" ht="14.25" customHeight="1">
      <c r="B477" s="40"/>
      <c r="D477" s="41"/>
      <c r="F477" s="41"/>
      <c r="G477" s="42"/>
    </row>
    <row r="478" spans="2:7" ht="14.25" customHeight="1">
      <c r="B478" s="40"/>
      <c r="D478" s="41"/>
      <c r="F478" s="41"/>
      <c r="G478" s="42"/>
    </row>
    <row r="479" spans="2:7" ht="14.25" customHeight="1">
      <c r="B479" s="40"/>
      <c r="D479" s="41"/>
      <c r="F479" s="41"/>
      <c r="G479" s="42"/>
    </row>
    <row r="480" spans="2:7" ht="14.25" customHeight="1">
      <c r="B480" s="40"/>
      <c r="D480" s="41"/>
      <c r="F480" s="41"/>
      <c r="G480" s="42"/>
    </row>
    <row r="481" spans="2:7" ht="14.25" customHeight="1">
      <c r="B481" s="40"/>
      <c r="D481" s="41"/>
      <c r="F481" s="41"/>
      <c r="G481" s="42"/>
    </row>
    <row r="482" spans="2:7" ht="14.25" customHeight="1">
      <c r="B482" s="40"/>
      <c r="D482" s="41"/>
      <c r="F482" s="41"/>
      <c r="G482" s="42"/>
    </row>
    <row r="483" spans="2:7" ht="14.25" customHeight="1">
      <c r="B483" s="40"/>
      <c r="D483" s="41"/>
      <c r="F483" s="41"/>
      <c r="G483" s="42"/>
    </row>
    <row r="484" spans="2:7" ht="14.25" customHeight="1">
      <c r="B484" s="40"/>
      <c r="D484" s="41"/>
      <c r="F484" s="41"/>
      <c r="G484" s="42"/>
    </row>
    <row r="485" spans="2:7" ht="14.25" customHeight="1">
      <c r="B485" s="40"/>
      <c r="D485" s="41"/>
      <c r="F485" s="41"/>
      <c r="G485" s="42"/>
    </row>
    <row r="486" spans="2:7" ht="14.25" customHeight="1">
      <c r="B486" s="40"/>
      <c r="D486" s="41"/>
      <c r="F486" s="41"/>
      <c r="G486" s="42"/>
    </row>
    <row r="487" spans="2:7" ht="14.25" customHeight="1">
      <c r="B487" s="40"/>
      <c r="D487" s="41"/>
      <c r="F487" s="41"/>
      <c r="G487" s="42"/>
    </row>
    <row r="488" spans="2:7" ht="14.25" customHeight="1">
      <c r="B488" s="40"/>
      <c r="D488" s="41"/>
      <c r="F488" s="41"/>
      <c r="G488" s="42"/>
    </row>
    <row r="489" spans="2:7" ht="14.25" customHeight="1">
      <c r="B489" s="40"/>
      <c r="D489" s="41"/>
      <c r="F489" s="41"/>
      <c r="G489" s="42"/>
    </row>
    <row r="490" spans="2:7" ht="14.25" customHeight="1">
      <c r="B490" s="40"/>
      <c r="D490" s="41"/>
      <c r="F490" s="41"/>
      <c r="G490" s="42"/>
    </row>
    <row r="491" spans="2:7" ht="14.25" customHeight="1">
      <c r="B491" s="40"/>
      <c r="D491" s="41"/>
      <c r="F491" s="41"/>
      <c r="G491" s="42"/>
    </row>
    <row r="492" spans="2:7" ht="14.25" customHeight="1">
      <c r="B492" s="40"/>
      <c r="D492" s="41"/>
      <c r="F492" s="41"/>
      <c r="G492" s="42"/>
    </row>
    <row r="493" spans="2:7" ht="14.25" customHeight="1">
      <c r="B493" s="40"/>
      <c r="D493" s="41"/>
      <c r="F493" s="41"/>
      <c r="G493" s="42"/>
    </row>
    <row r="494" spans="2:7" ht="14.25" customHeight="1">
      <c r="B494" s="40"/>
      <c r="D494" s="41"/>
      <c r="F494" s="41"/>
      <c r="G494" s="42"/>
    </row>
    <row r="495" spans="2:7" ht="14.25" customHeight="1">
      <c r="B495" s="40"/>
      <c r="D495" s="41"/>
      <c r="F495" s="41"/>
      <c r="G495" s="42"/>
    </row>
    <row r="496" spans="2:7" ht="14.25" customHeight="1">
      <c r="B496" s="40"/>
      <c r="D496" s="41"/>
      <c r="F496" s="41"/>
      <c r="G496" s="42"/>
    </row>
    <row r="497" spans="2:7" ht="14.25" customHeight="1">
      <c r="B497" s="40"/>
      <c r="D497" s="41"/>
      <c r="F497" s="41"/>
      <c r="G497" s="42"/>
    </row>
    <row r="498" spans="2:7" ht="14.25" customHeight="1">
      <c r="B498" s="40"/>
      <c r="D498" s="41"/>
      <c r="F498" s="41"/>
      <c r="G498" s="42"/>
    </row>
    <row r="499" spans="2:7" ht="14.25" customHeight="1">
      <c r="B499" s="40"/>
      <c r="D499" s="41"/>
      <c r="F499" s="41"/>
      <c r="G499" s="42"/>
    </row>
    <row r="500" spans="2:7" ht="14.25" customHeight="1">
      <c r="B500" s="40"/>
      <c r="D500" s="41"/>
      <c r="F500" s="41"/>
      <c r="G500" s="42"/>
    </row>
    <row r="501" spans="2:7" ht="14.25" customHeight="1">
      <c r="B501" s="40"/>
      <c r="D501" s="41"/>
      <c r="F501" s="41"/>
      <c r="G501" s="42"/>
    </row>
    <row r="502" spans="2:7" ht="14.25" customHeight="1">
      <c r="B502" s="40"/>
      <c r="D502" s="41"/>
      <c r="F502" s="41"/>
      <c r="G502" s="42"/>
    </row>
    <row r="503" spans="2:7" ht="14.25" customHeight="1">
      <c r="B503" s="40"/>
      <c r="D503" s="41"/>
      <c r="F503" s="41"/>
      <c r="G503" s="42"/>
    </row>
    <row r="504" spans="2:7" ht="14.25" customHeight="1">
      <c r="B504" s="40"/>
      <c r="D504" s="41"/>
      <c r="F504" s="41"/>
      <c r="G504" s="42"/>
    </row>
    <row r="505" spans="2:7" ht="14.25" customHeight="1">
      <c r="B505" s="40"/>
      <c r="D505" s="41"/>
      <c r="F505" s="41"/>
      <c r="G505" s="42"/>
    </row>
    <row r="506" spans="2:7" ht="14.25" customHeight="1">
      <c r="B506" s="40"/>
      <c r="D506" s="41"/>
      <c r="F506" s="41"/>
      <c r="G506" s="42"/>
    </row>
    <row r="507" spans="2:7" ht="14.25" customHeight="1">
      <c r="B507" s="40"/>
      <c r="D507" s="41"/>
      <c r="F507" s="41"/>
      <c r="G507" s="42"/>
    </row>
    <row r="508" spans="2:7" ht="14.25" customHeight="1">
      <c r="B508" s="40"/>
      <c r="D508" s="41"/>
      <c r="F508" s="41"/>
      <c r="G508" s="42"/>
    </row>
    <row r="509" spans="2:7" ht="14.25" customHeight="1">
      <c r="B509" s="40"/>
      <c r="D509" s="41"/>
      <c r="F509" s="41"/>
      <c r="G509" s="42"/>
    </row>
    <row r="510" spans="2:7" ht="14.25" customHeight="1">
      <c r="B510" s="40"/>
      <c r="D510" s="41"/>
      <c r="F510" s="41"/>
      <c r="G510" s="42"/>
    </row>
    <row r="511" spans="2:7" ht="14.25" customHeight="1">
      <c r="B511" s="40"/>
      <c r="D511" s="41"/>
      <c r="F511" s="41"/>
      <c r="G511" s="42"/>
    </row>
    <row r="512" spans="2:7" ht="14.25" customHeight="1">
      <c r="B512" s="40"/>
      <c r="D512" s="41"/>
      <c r="F512" s="41"/>
      <c r="G512" s="42"/>
    </row>
    <row r="513" spans="2:7" ht="14.25" customHeight="1">
      <c r="B513" s="40"/>
      <c r="D513" s="41"/>
      <c r="F513" s="41"/>
      <c r="G513" s="42"/>
    </row>
    <row r="514" spans="2:7" ht="14.25" customHeight="1">
      <c r="B514" s="40"/>
      <c r="D514" s="41"/>
      <c r="F514" s="41"/>
      <c r="G514" s="42"/>
    </row>
    <row r="515" spans="2:7" ht="14.25" customHeight="1">
      <c r="B515" s="40"/>
      <c r="D515" s="41"/>
      <c r="F515" s="41"/>
      <c r="G515" s="42"/>
    </row>
    <row r="516" spans="2:7" ht="14.25" customHeight="1">
      <c r="B516" s="40"/>
      <c r="D516" s="41"/>
      <c r="F516" s="41"/>
      <c r="G516" s="42"/>
    </row>
    <row r="517" spans="2:7" ht="14.25" customHeight="1">
      <c r="B517" s="40"/>
      <c r="D517" s="41"/>
      <c r="F517" s="41"/>
      <c r="G517" s="42"/>
    </row>
    <row r="518" spans="2:7" ht="14.25" customHeight="1">
      <c r="B518" s="40"/>
      <c r="D518" s="41"/>
      <c r="F518" s="41"/>
      <c r="G518" s="42"/>
    </row>
    <row r="519" spans="2:7" ht="14.25" customHeight="1">
      <c r="B519" s="40"/>
      <c r="D519" s="41"/>
      <c r="F519" s="41"/>
      <c r="G519" s="42"/>
    </row>
    <row r="520" spans="2:7" ht="14.25" customHeight="1">
      <c r="B520" s="40"/>
      <c r="D520" s="41"/>
      <c r="F520" s="41"/>
      <c r="G520" s="42"/>
    </row>
    <row r="521" spans="2:7" ht="14.25" customHeight="1">
      <c r="B521" s="40"/>
      <c r="D521" s="41"/>
      <c r="F521" s="41"/>
      <c r="G521" s="42"/>
    </row>
    <row r="522" spans="2:7" ht="14.25" customHeight="1">
      <c r="B522" s="40"/>
      <c r="D522" s="41"/>
      <c r="F522" s="41"/>
      <c r="G522" s="42"/>
    </row>
    <row r="523" spans="2:7" ht="14.25" customHeight="1">
      <c r="B523" s="40"/>
      <c r="D523" s="41"/>
      <c r="F523" s="41"/>
      <c r="G523" s="42"/>
    </row>
    <row r="524" spans="2:7" ht="14.25" customHeight="1">
      <c r="B524" s="40"/>
      <c r="D524" s="41"/>
      <c r="F524" s="41"/>
      <c r="G524" s="42"/>
    </row>
    <row r="525" spans="2:7" ht="14.25" customHeight="1">
      <c r="B525" s="40"/>
      <c r="D525" s="41"/>
      <c r="F525" s="41"/>
      <c r="G525" s="42"/>
    </row>
    <row r="526" spans="2:7" ht="14.25" customHeight="1">
      <c r="B526" s="40"/>
      <c r="D526" s="41"/>
      <c r="F526" s="41"/>
      <c r="G526" s="42"/>
    </row>
    <row r="527" spans="2:7" ht="14.25" customHeight="1">
      <c r="B527" s="40"/>
      <c r="D527" s="41"/>
      <c r="F527" s="41"/>
      <c r="G527" s="42"/>
    </row>
    <row r="528" spans="2:7" ht="14.25" customHeight="1">
      <c r="B528" s="40"/>
      <c r="D528" s="41"/>
      <c r="F528" s="41"/>
      <c r="G528" s="42"/>
    </row>
    <row r="529" spans="2:7" ht="14.25" customHeight="1">
      <c r="B529" s="40"/>
      <c r="D529" s="41"/>
      <c r="F529" s="41"/>
      <c r="G529" s="42"/>
    </row>
    <row r="530" spans="2:7" ht="14.25" customHeight="1">
      <c r="B530" s="40"/>
      <c r="D530" s="41"/>
      <c r="F530" s="41"/>
      <c r="G530" s="42"/>
    </row>
    <row r="531" spans="2:7" ht="14.25" customHeight="1">
      <c r="B531" s="40"/>
      <c r="D531" s="41"/>
      <c r="F531" s="41"/>
      <c r="G531" s="42"/>
    </row>
    <row r="532" spans="2:7" ht="14.25" customHeight="1">
      <c r="B532" s="40"/>
      <c r="D532" s="41"/>
      <c r="F532" s="41"/>
      <c r="G532" s="42"/>
    </row>
    <row r="533" spans="2:7" ht="14.25" customHeight="1">
      <c r="B533" s="40"/>
      <c r="D533" s="41"/>
      <c r="F533" s="41"/>
      <c r="G533" s="42"/>
    </row>
    <row r="534" spans="2:7" ht="14.25" customHeight="1">
      <c r="B534" s="40"/>
      <c r="D534" s="41"/>
      <c r="F534" s="41"/>
      <c r="G534" s="42"/>
    </row>
    <row r="535" spans="2:7" ht="14.25" customHeight="1">
      <c r="B535" s="40"/>
      <c r="D535" s="41"/>
      <c r="F535" s="41"/>
      <c r="G535" s="42"/>
    </row>
    <row r="536" spans="2:7" ht="14.25" customHeight="1">
      <c r="B536" s="40"/>
      <c r="D536" s="41"/>
      <c r="F536" s="41"/>
      <c r="G536" s="42"/>
    </row>
    <row r="537" spans="2:7" ht="14.25" customHeight="1">
      <c r="B537" s="40"/>
      <c r="D537" s="41"/>
      <c r="F537" s="41"/>
      <c r="G537" s="42"/>
    </row>
    <row r="538" spans="2:7" ht="14.25" customHeight="1">
      <c r="B538" s="40"/>
      <c r="D538" s="41"/>
      <c r="F538" s="41"/>
      <c r="G538" s="42"/>
    </row>
    <row r="539" spans="2:7" ht="14.25" customHeight="1">
      <c r="B539" s="40"/>
      <c r="D539" s="41"/>
      <c r="F539" s="41"/>
      <c r="G539" s="42"/>
    </row>
    <row r="540" spans="2:7" ht="14.25" customHeight="1">
      <c r="B540" s="40"/>
      <c r="D540" s="41"/>
      <c r="F540" s="41"/>
      <c r="G540" s="42"/>
    </row>
    <row r="541" spans="2:7" ht="14.25" customHeight="1">
      <c r="B541" s="40"/>
      <c r="D541" s="41"/>
      <c r="F541" s="41"/>
      <c r="G541" s="42"/>
    </row>
    <row r="542" spans="2:7" ht="14.25" customHeight="1">
      <c r="B542" s="40"/>
      <c r="D542" s="41"/>
      <c r="F542" s="41"/>
      <c r="G542" s="42"/>
    </row>
    <row r="543" spans="2:7" ht="14.25" customHeight="1">
      <c r="B543" s="40"/>
      <c r="D543" s="41"/>
      <c r="F543" s="41"/>
      <c r="G543" s="42"/>
    </row>
    <row r="544" spans="2:7" ht="14.25" customHeight="1">
      <c r="B544" s="40"/>
      <c r="D544" s="41"/>
      <c r="F544" s="41"/>
      <c r="G544" s="42"/>
    </row>
    <row r="545" spans="2:7" ht="14.25" customHeight="1">
      <c r="B545" s="40"/>
      <c r="D545" s="41"/>
      <c r="F545" s="41"/>
      <c r="G545" s="42"/>
    </row>
    <row r="546" spans="2:7" ht="14.25" customHeight="1">
      <c r="B546" s="40"/>
      <c r="D546" s="41"/>
      <c r="F546" s="41"/>
      <c r="G546" s="42"/>
    </row>
    <row r="547" spans="2:7" ht="14.25" customHeight="1">
      <c r="B547" s="40"/>
      <c r="D547" s="41"/>
      <c r="F547" s="41"/>
      <c r="G547" s="42"/>
    </row>
    <row r="548" spans="2:7" ht="14.25" customHeight="1">
      <c r="B548" s="40"/>
      <c r="D548" s="41"/>
      <c r="F548" s="41"/>
      <c r="G548" s="42"/>
    </row>
    <row r="549" spans="2:7" ht="14.25" customHeight="1">
      <c r="B549" s="40"/>
      <c r="D549" s="41"/>
      <c r="F549" s="41"/>
      <c r="G549" s="42"/>
    </row>
    <row r="550" spans="2:7" ht="14.25" customHeight="1">
      <c r="B550" s="40"/>
      <c r="D550" s="41"/>
      <c r="F550" s="41"/>
      <c r="G550" s="42"/>
    </row>
    <row r="551" spans="2:7" ht="14.25" customHeight="1">
      <c r="B551" s="40"/>
      <c r="D551" s="41"/>
      <c r="F551" s="41"/>
      <c r="G551" s="42"/>
    </row>
    <row r="552" spans="2:7" ht="14.25" customHeight="1">
      <c r="B552" s="40"/>
      <c r="D552" s="41"/>
      <c r="F552" s="41"/>
      <c r="G552" s="42"/>
    </row>
    <row r="553" spans="2:7" ht="14.25" customHeight="1">
      <c r="B553" s="40"/>
      <c r="D553" s="41"/>
      <c r="F553" s="41"/>
      <c r="G553" s="42"/>
    </row>
    <row r="554" spans="2:7" ht="14.25" customHeight="1">
      <c r="B554" s="40"/>
      <c r="D554" s="41"/>
      <c r="F554" s="41"/>
      <c r="G554" s="42"/>
    </row>
    <row r="555" spans="2:7" ht="14.25" customHeight="1">
      <c r="B555" s="40"/>
      <c r="D555" s="41"/>
      <c r="F555" s="41"/>
      <c r="G555" s="42"/>
    </row>
    <row r="556" spans="2:7" ht="14.25" customHeight="1">
      <c r="B556" s="40"/>
      <c r="D556" s="41"/>
      <c r="F556" s="41"/>
      <c r="G556" s="42"/>
    </row>
    <row r="557" spans="2:7" ht="14.25" customHeight="1">
      <c r="B557" s="40"/>
      <c r="D557" s="41"/>
      <c r="F557" s="41"/>
      <c r="G557" s="42"/>
    </row>
    <row r="558" spans="2:7" ht="14.25" customHeight="1">
      <c r="B558" s="40"/>
      <c r="D558" s="41"/>
      <c r="F558" s="41"/>
      <c r="G558" s="42"/>
    </row>
    <row r="559" spans="2:7" ht="14.25" customHeight="1">
      <c r="B559" s="40"/>
      <c r="D559" s="41"/>
      <c r="F559" s="41"/>
      <c r="G559" s="42"/>
    </row>
    <row r="560" spans="2:7" ht="14.25" customHeight="1">
      <c r="B560" s="40"/>
      <c r="D560" s="41"/>
      <c r="F560" s="41"/>
      <c r="G560" s="42"/>
    </row>
    <row r="561" spans="2:7" ht="14.25" customHeight="1">
      <c r="B561" s="40"/>
      <c r="D561" s="41"/>
      <c r="F561" s="41"/>
      <c r="G561" s="42"/>
    </row>
    <row r="562" spans="2:7" ht="14.25" customHeight="1">
      <c r="B562" s="40"/>
      <c r="D562" s="41"/>
      <c r="F562" s="41"/>
      <c r="G562" s="42"/>
    </row>
    <row r="563" spans="2:7" ht="14.25" customHeight="1">
      <c r="B563" s="40"/>
      <c r="D563" s="41"/>
      <c r="F563" s="41"/>
      <c r="G563" s="42"/>
    </row>
    <row r="564" spans="2:7" ht="14.25" customHeight="1">
      <c r="B564" s="40"/>
      <c r="D564" s="41"/>
      <c r="F564" s="41"/>
      <c r="G564" s="42"/>
    </row>
    <row r="565" spans="2:7" ht="14.25" customHeight="1">
      <c r="B565" s="40"/>
      <c r="D565" s="41"/>
      <c r="F565" s="41"/>
      <c r="G565" s="42"/>
    </row>
    <row r="566" spans="2:7" ht="14.25" customHeight="1">
      <c r="B566" s="40"/>
      <c r="D566" s="41"/>
      <c r="F566" s="41"/>
      <c r="G566" s="42"/>
    </row>
    <row r="567" spans="2:7" ht="14.25" customHeight="1">
      <c r="B567" s="40"/>
      <c r="D567" s="41"/>
      <c r="F567" s="41"/>
      <c r="G567" s="42"/>
    </row>
    <row r="568" spans="2:7" ht="14.25" customHeight="1">
      <c r="B568" s="40"/>
      <c r="D568" s="41"/>
      <c r="F568" s="41"/>
      <c r="G568" s="42"/>
    </row>
    <row r="569" spans="2:7" ht="14.25" customHeight="1">
      <c r="B569" s="40"/>
      <c r="D569" s="41"/>
      <c r="F569" s="41"/>
      <c r="G569" s="42"/>
    </row>
    <row r="570" spans="2:7" ht="14.25" customHeight="1">
      <c r="B570" s="40"/>
      <c r="D570" s="41"/>
      <c r="F570" s="41"/>
      <c r="G570" s="42"/>
    </row>
    <row r="571" spans="2:7" ht="14.25" customHeight="1">
      <c r="B571" s="40"/>
      <c r="D571" s="41"/>
      <c r="F571" s="41"/>
      <c r="G571" s="42"/>
    </row>
    <row r="572" spans="2:7" ht="14.25" customHeight="1">
      <c r="B572" s="40"/>
      <c r="D572" s="41"/>
      <c r="F572" s="41"/>
      <c r="G572" s="42"/>
    </row>
    <row r="573" spans="2:7" ht="14.25" customHeight="1">
      <c r="B573" s="40"/>
      <c r="D573" s="41"/>
      <c r="F573" s="41"/>
      <c r="G573" s="42"/>
    </row>
    <row r="574" spans="2:7" ht="14.25" customHeight="1">
      <c r="B574" s="40"/>
      <c r="D574" s="41"/>
      <c r="F574" s="41"/>
      <c r="G574" s="42"/>
    </row>
    <row r="575" spans="2:7" ht="14.25" customHeight="1">
      <c r="B575" s="40"/>
      <c r="D575" s="41"/>
      <c r="F575" s="41"/>
      <c r="G575" s="42"/>
    </row>
    <row r="576" spans="2:7" ht="14.25" customHeight="1">
      <c r="B576" s="40"/>
      <c r="D576" s="41"/>
      <c r="F576" s="41"/>
      <c r="G576" s="42"/>
    </row>
    <row r="577" spans="2:7" ht="14.25" customHeight="1">
      <c r="B577" s="40"/>
      <c r="D577" s="41"/>
      <c r="F577" s="41"/>
      <c r="G577" s="42"/>
    </row>
    <row r="578" spans="2:7" ht="14.25" customHeight="1">
      <c r="B578" s="40"/>
      <c r="D578" s="41"/>
      <c r="F578" s="41"/>
      <c r="G578" s="42"/>
    </row>
    <row r="579" spans="2:7" ht="14.25" customHeight="1">
      <c r="B579" s="40"/>
      <c r="D579" s="41"/>
      <c r="F579" s="41"/>
      <c r="G579" s="42"/>
    </row>
    <row r="580" spans="2:7" ht="14.25" customHeight="1">
      <c r="B580" s="40"/>
      <c r="D580" s="41"/>
      <c r="F580" s="41"/>
      <c r="G580" s="42"/>
    </row>
    <row r="581" spans="2:7" ht="14.25" customHeight="1">
      <c r="B581" s="40"/>
      <c r="D581" s="41"/>
      <c r="F581" s="41"/>
      <c r="G581" s="42"/>
    </row>
    <row r="582" spans="2:7" ht="14.25" customHeight="1">
      <c r="B582" s="40"/>
      <c r="D582" s="41"/>
      <c r="F582" s="41"/>
      <c r="G582" s="42"/>
    </row>
    <row r="583" spans="2:7" ht="14.25" customHeight="1">
      <c r="B583" s="40"/>
      <c r="D583" s="41"/>
      <c r="F583" s="41"/>
      <c r="G583" s="42"/>
    </row>
    <row r="584" spans="2:7" ht="14.25" customHeight="1">
      <c r="B584" s="40"/>
      <c r="D584" s="41"/>
      <c r="F584" s="41"/>
      <c r="G584" s="42"/>
    </row>
    <row r="585" spans="2:7" ht="14.25" customHeight="1">
      <c r="B585" s="40"/>
      <c r="D585" s="41"/>
      <c r="F585" s="41"/>
      <c r="G585" s="42"/>
    </row>
    <row r="586" spans="2:7" ht="14.25" customHeight="1">
      <c r="B586" s="40"/>
      <c r="D586" s="41"/>
      <c r="F586" s="41"/>
      <c r="G586" s="42"/>
    </row>
    <row r="587" spans="2:7" ht="14.25" customHeight="1">
      <c r="B587" s="40"/>
      <c r="D587" s="41"/>
      <c r="F587" s="41"/>
      <c r="G587" s="42"/>
    </row>
    <row r="588" spans="2:7" ht="14.25" customHeight="1">
      <c r="B588" s="40"/>
      <c r="D588" s="41"/>
      <c r="F588" s="41"/>
      <c r="G588" s="42"/>
    </row>
    <row r="589" spans="2:7" ht="14.25" customHeight="1">
      <c r="B589" s="40"/>
      <c r="D589" s="41"/>
      <c r="F589" s="41"/>
      <c r="G589" s="42"/>
    </row>
    <row r="590" spans="2:7" ht="14.25" customHeight="1">
      <c r="B590" s="40"/>
      <c r="D590" s="41"/>
      <c r="F590" s="41"/>
      <c r="G590" s="42"/>
    </row>
    <row r="591" spans="2:7" ht="14.25" customHeight="1">
      <c r="B591" s="40"/>
      <c r="D591" s="41"/>
      <c r="F591" s="41"/>
      <c r="G591" s="42"/>
    </row>
    <row r="592" spans="2:7" ht="14.25" customHeight="1">
      <c r="B592" s="40"/>
      <c r="D592" s="41"/>
      <c r="F592" s="41"/>
      <c r="G592" s="42"/>
    </row>
    <row r="593" spans="2:7" ht="14.25" customHeight="1">
      <c r="B593" s="40"/>
      <c r="D593" s="41"/>
      <c r="F593" s="41"/>
      <c r="G593" s="42"/>
    </row>
    <row r="594" spans="2:7" ht="14.25" customHeight="1">
      <c r="B594" s="40"/>
      <c r="D594" s="41"/>
      <c r="F594" s="41"/>
      <c r="G594" s="42"/>
    </row>
    <row r="595" spans="2:7" ht="14.25" customHeight="1">
      <c r="B595" s="40"/>
      <c r="D595" s="41"/>
      <c r="F595" s="41"/>
      <c r="G595" s="42"/>
    </row>
    <row r="596" spans="2:7" ht="14.25" customHeight="1">
      <c r="B596" s="40"/>
      <c r="D596" s="41"/>
      <c r="F596" s="41"/>
      <c r="G596" s="42"/>
    </row>
    <row r="597" spans="2:7" ht="14.25" customHeight="1">
      <c r="B597" s="40"/>
      <c r="D597" s="41"/>
      <c r="F597" s="41"/>
      <c r="G597" s="42"/>
    </row>
    <row r="598" spans="2:7" ht="14.25" customHeight="1">
      <c r="B598" s="40"/>
      <c r="D598" s="41"/>
      <c r="F598" s="41"/>
      <c r="G598" s="42"/>
    </row>
    <row r="599" spans="2:7" ht="14.25" customHeight="1">
      <c r="B599" s="40"/>
      <c r="D599" s="41"/>
      <c r="F599" s="41"/>
      <c r="G599" s="42"/>
    </row>
    <row r="600" spans="2:7" ht="14.25" customHeight="1">
      <c r="B600" s="40"/>
      <c r="D600" s="41"/>
      <c r="F600" s="41"/>
      <c r="G600" s="42"/>
    </row>
    <row r="601" spans="2:7" ht="14.25" customHeight="1">
      <c r="B601" s="40"/>
      <c r="D601" s="41"/>
      <c r="F601" s="41"/>
      <c r="G601" s="42"/>
    </row>
    <row r="602" spans="2:7" ht="14.25" customHeight="1">
      <c r="B602" s="40"/>
      <c r="D602" s="41"/>
      <c r="F602" s="41"/>
      <c r="G602" s="42"/>
    </row>
    <row r="603" spans="2:7" ht="14.25" customHeight="1">
      <c r="B603" s="40"/>
      <c r="D603" s="41"/>
      <c r="F603" s="41"/>
      <c r="G603" s="42"/>
    </row>
    <row r="604" spans="2:7" ht="14.25" customHeight="1">
      <c r="B604" s="40"/>
      <c r="D604" s="41"/>
      <c r="F604" s="41"/>
      <c r="G604" s="42"/>
    </row>
    <row r="605" spans="2:7" ht="14.25" customHeight="1">
      <c r="B605" s="40"/>
      <c r="D605" s="41"/>
      <c r="F605" s="41"/>
      <c r="G605" s="42"/>
    </row>
    <row r="606" spans="2:7" ht="14.25" customHeight="1">
      <c r="B606" s="40"/>
      <c r="D606" s="41"/>
      <c r="F606" s="41"/>
      <c r="G606" s="42"/>
    </row>
    <row r="607" spans="2:7" ht="14.25" customHeight="1">
      <c r="B607" s="40"/>
      <c r="D607" s="41"/>
      <c r="F607" s="41"/>
      <c r="G607" s="42"/>
    </row>
    <row r="608" spans="2:7" ht="14.25" customHeight="1">
      <c r="B608" s="40"/>
      <c r="D608" s="41"/>
      <c r="F608" s="41"/>
      <c r="G608" s="42"/>
    </row>
    <row r="609" spans="2:7" ht="14.25" customHeight="1">
      <c r="B609" s="40"/>
      <c r="D609" s="41"/>
      <c r="F609" s="41"/>
      <c r="G609" s="42"/>
    </row>
    <row r="610" spans="2:7" ht="14.25" customHeight="1">
      <c r="B610" s="40"/>
      <c r="D610" s="41"/>
      <c r="F610" s="41"/>
      <c r="G610" s="42"/>
    </row>
    <row r="611" spans="2:7" ht="14.25" customHeight="1">
      <c r="B611" s="40"/>
      <c r="D611" s="41"/>
      <c r="F611" s="41"/>
      <c r="G611" s="42"/>
    </row>
    <row r="612" spans="2:7" ht="14.25" customHeight="1">
      <c r="B612" s="40"/>
      <c r="D612" s="41"/>
      <c r="F612" s="41"/>
      <c r="G612" s="42"/>
    </row>
    <row r="613" spans="2:7" ht="14.25" customHeight="1">
      <c r="B613" s="40"/>
      <c r="D613" s="41"/>
      <c r="F613" s="41"/>
      <c r="G613" s="42"/>
    </row>
    <row r="614" spans="2:7" ht="14.25" customHeight="1">
      <c r="B614" s="40"/>
      <c r="D614" s="41"/>
      <c r="F614" s="41"/>
      <c r="G614" s="42"/>
    </row>
    <row r="615" spans="2:7" ht="14.25" customHeight="1">
      <c r="B615" s="40"/>
      <c r="D615" s="41"/>
      <c r="F615" s="41"/>
      <c r="G615" s="42"/>
    </row>
    <row r="616" spans="2:7" ht="14.25" customHeight="1">
      <c r="B616" s="40"/>
      <c r="D616" s="41"/>
      <c r="F616" s="41"/>
      <c r="G616" s="42"/>
    </row>
    <row r="617" spans="2:7" ht="14.25" customHeight="1">
      <c r="B617" s="40"/>
      <c r="D617" s="41"/>
      <c r="F617" s="41"/>
      <c r="G617" s="42"/>
    </row>
    <row r="618" spans="2:7" ht="14.25" customHeight="1">
      <c r="B618" s="40"/>
      <c r="D618" s="41"/>
      <c r="F618" s="41"/>
      <c r="G618" s="42"/>
    </row>
    <row r="619" spans="2:7" ht="14.25" customHeight="1">
      <c r="B619" s="40"/>
      <c r="D619" s="41"/>
      <c r="F619" s="41"/>
      <c r="G619" s="42"/>
    </row>
    <row r="620" spans="2:7" ht="14.25" customHeight="1">
      <c r="B620" s="40"/>
      <c r="D620" s="41"/>
      <c r="F620" s="41"/>
      <c r="G620" s="42"/>
    </row>
    <row r="621" spans="2:7" ht="14.25" customHeight="1">
      <c r="B621" s="40"/>
      <c r="D621" s="41"/>
      <c r="F621" s="41"/>
      <c r="G621" s="42"/>
    </row>
    <row r="622" spans="2:7" ht="14.25" customHeight="1">
      <c r="B622" s="40"/>
      <c r="D622" s="41"/>
      <c r="F622" s="41"/>
      <c r="G622" s="42"/>
    </row>
    <row r="623" spans="2:7" ht="14.25" customHeight="1">
      <c r="B623" s="40"/>
      <c r="D623" s="41"/>
      <c r="F623" s="41"/>
      <c r="G623" s="42"/>
    </row>
    <row r="624" spans="2:7" ht="14.25" customHeight="1">
      <c r="B624" s="40"/>
      <c r="D624" s="41"/>
      <c r="F624" s="41"/>
      <c r="G624" s="42"/>
    </row>
    <row r="625" spans="2:7" ht="14.25" customHeight="1">
      <c r="B625" s="40"/>
      <c r="D625" s="41"/>
      <c r="F625" s="41"/>
      <c r="G625" s="42"/>
    </row>
    <row r="626" spans="2:7" ht="14.25" customHeight="1">
      <c r="B626" s="40"/>
      <c r="D626" s="41"/>
      <c r="F626" s="41"/>
      <c r="G626" s="42"/>
    </row>
    <row r="627" spans="2:7" ht="14.25" customHeight="1">
      <c r="B627" s="40"/>
      <c r="D627" s="41"/>
      <c r="F627" s="41"/>
      <c r="G627" s="42"/>
    </row>
    <row r="628" spans="2:7" ht="14.25" customHeight="1">
      <c r="B628" s="40"/>
      <c r="D628" s="41"/>
      <c r="F628" s="41"/>
      <c r="G628" s="42"/>
    </row>
    <row r="629" spans="2:7" ht="14.25" customHeight="1">
      <c r="B629" s="40"/>
      <c r="D629" s="41"/>
      <c r="F629" s="41"/>
      <c r="G629" s="42"/>
    </row>
    <row r="630" spans="2:7" ht="14.25" customHeight="1">
      <c r="B630" s="40"/>
      <c r="D630" s="41"/>
      <c r="F630" s="41"/>
      <c r="G630" s="42"/>
    </row>
    <row r="631" spans="2:7" ht="14.25" customHeight="1">
      <c r="B631" s="40"/>
      <c r="D631" s="41"/>
      <c r="F631" s="41"/>
      <c r="G631" s="42"/>
    </row>
    <row r="632" spans="2:7" ht="14.25" customHeight="1">
      <c r="B632" s="40"/>
      <c r="D632" s="41"/>
      <c r="F632" s="41"/>
      <c r="G632" s="42"/>
    </row>
    <row r="633" spans="2:7" ht="14.25" customHeight="1">
      <c r="B633" s="40"/>
      <c r="D633" s="41"/>
      <c r="F633" s="41"/>
      <c r="G633" s="42"/>
    </row>
    <row r="634" spans="2:7" ht="14.25" customHeight="1">
      <c r="B634" s="40"/>
      <c r="D634" s="41"/>
      <c r="F634" s="41"/>
      <c r="G634" s="42"/>
    </row>
    <row r="635" spans="2:7" ht="14.25" customHeight="1">
      <c r="B635" s="40"/>
      <c r="D635" s="41"/>
      <c r="F635" s="41"/>
      <c r="G635" s="42"/>
    </row>
    <row r="636" spans="2:7" ht="14.25" customHeight="1">
      <c r="B636" s="40"/>
      <c r="D636" s="41"/>
      <c r="F636" s="41"/>
      <c r="G636" s="42"/>
    </row>
    <row r="637" spans="2:7" ht="14.25" customHeight="1">
      <c r="B637" s="40"/>
      <c r="D637" s="41"/>
      <c r="F637" s="41"/>
      <c r="G637" s="42"/>
    </row>
    <row r="638" spans="2:7" ht="14.25" customHeight="1">
      <c r="B638" s="40"/>
      <c r="D638" s="41"/>
      <c r="F638" s="41"/>
      <c r="G638" s="42"/>
    </row>
    <row r="639" spans="2:7" ht="14.25" customHeight="1">
      <c r="B639" s="40"/>
      <c r="D639" s="41"/>
      <c r="F639" s="41"/>
      <c r="G639" s="42"/>
    </row>
    <row r="640" spans="2:7" ht="14.25" customHeight="1">
      <c r="B640" s="40"/>
      <c r="D640" s="41"/>
      <c r="F640" s="41"/>
      <c r="G640" s="42"/>
    </row>
    <row r="641" spans="2:7" ht="14.25" customHeight="1">
      <c r="B641" s="40"/>
      <c r="D641" s="41"/>
      <c r="F641" s="41"/>
      <c r="G641" s="42"/>
    </row>
    <row r="642" spans="2:7" ht="14.25" customHeight="1">
      <c r="B642" s="40"/>
      <c r="D642" s="41"/>
      <c r="F642" s="41"/>
      <c r="G642" s="42"/>
    </row>
    <row r="643" spans="2:7" ht="14.25" customHeight="1">
      <c r="B643" s="40"/>
      <c r="D643" s="41"/>
      <c r="F643" s="41"/>
      <c r="G643" s="42"/>
    </row>
    <row r="644" spans="2:7" ht="14.25" customHeight="1">
      <c r="B644" s="40"/>
      <c r="D644" s="41"/>
      <c r="F644" s="41"/>
      <c r="G644" s="42"/>
    </row>
    <row r="645" spans="2:7" ht="14.25" customHeight="1">
      <c r="B645" s="40"/>
      <c r="D645" s="41"/>
      <c r="F645" s="41"/>
      <c r="G645" s="42"/>
    </row>
    <row r="646" spans="2:7" ht="14.25" customHeight="1">
      <c r="B646" s="40"/>
      <c r="D646" s="41"/>
      <c r="F646" s="41"/>
      <c r="G646" s="42"/>
    </row>
    <row r="647" spans="2:7" ht="14.25" customHeight="1">
      <c r="B647" s="40"/>
      <c r="D647" s="41"/>
      <c r="F647" s="41"/>
      <c r="G647" s="42"/>
    </row>
    <row r="648" spans="2:7" ht="14.25" customHeight="1">
      <c r="B648" s="40"/>
      <c r="D648" s="41"/>
      <c r="F648" s="41"/>
      <c r="G648" s="42"/>
    </row>
    <row r="649" spans="2:7" ht="14.25" customHeight="1">
      <c r="B649" s="40"/>
      <c r="D649" s="41"/>
      <c r="F649" s="41"/>
      <c r="G649" s="42"/>
    </row>
    <row r="650" spans="2:7" ht="14.25" customHeight="1">
      <c r="B650" s="40"/>
      <c r="D650" s="41"/>
      <c r="F650" s="41"/>
      <c r="G650" s="42"/>
    </row>
    <row r="651" spans="2:7" ht="14.25" customHeight="1">
      <c r="B651" s="40"/>
      <c r="D651" s="41"/>
      <c r="F651" s="41"/>
      <c r="G651" s="42"/>
    </row>
    <row r="652" spans="2:7" ht="14.25" customHeight="1">
      <c r="B652" s="40"/>
      <c r="D652" s="41"/>
      <c r="F652" s="41"/>
      <c r="G652" s="42"/>
    </row>
    <row r="653" spans="2:7" ht="14.25" customHeight="1">
      <c r="B653" s="40"/>
      <c r="D653" s="41"/>
      <c r="F653" s="41"/>
      <c r="G653" s="42"/>
    </row>
    <row r="654" spans="2:7" ht="14.25" customHeight="1">
      <c r="B654" s="40"/>
      <c r="D654" s="41"/>
      <c r="F654" s="41"/>
      <c r="G654" s="42"/>
    </row>
    <row r="655" spans="2:7" ht="14.25" customHeight="1">
      <c r="B655" s="40"/>
      <c r="D655" s="41"/>
      <c r="F655" s="41"/>
      <c r="G655" s="42"/>
    </row>
    <row r="656" spans="2:7" ht="14.25" customHeight="1">
      <c r="B656" s="40"/>
      <c r="D656" s="41"/>
      <c r="F656" s="41"/>
      <c r="G656" s="42"/>
    </row>
    <row r="657" spans="2:7" ht="14.25" customHeight="1">
      <c r="B657" s="40"/>
      <c r="D657" s="41"/>
      <c r="F657" s="41"/>
      <c r="G657" s="42"/>
    </row>
    <row r="658" spans="2:7" ht="14.25" customHeight="1">
      <c r="B658" s="40"/>
      <c r="D658" s="41"/>
      <c r="F658" s="41"/>
      <c r="G658" s="42"/>
    </row>
    <row r="659" spans="2:7" ht="14.25" customHeight="1">
      <c r="B659" s="40"/>
      <c r="D659" s="41"/>
      <c r="F659" s="41"/>
      <c r="G659" s="42"/>
    </row>
    <row r="660" spans="2:7" ht="14.25" customHeight="1">
      <c r="B660" s="40"/>
      <c r="D660" s="41"/>
      <c r="F660" s="41"/>
      <c r="G660" s="42"/>
    </row>
    <row r="661" spans="2:7" ht="14.25" customHeight="1">
      <c r="B661" s="40"/>
      <c r="D661" s="41"/>
      <c r="F661" s="41"/>
      <c r="G661" s="42"/>
    </row>
    <row r="662" spans="2:7" ht="14.25" customHeight="1">
      <c r="B662" s="40"/>
      <c r="D662" s="41"/>
      <c r="F662" s="41"/>
      <c r="G662" s="42"/>
    </row>
    <row r="663" spans="2:7" ht="14.25" customHeight="1">
      <c r="B663" s="40"/>
      <c r="D663" s="41"/>
      <c r="F663" s="41"/>
      <c r="G663" s="42"/>
    </row>
    <row r="664" spans="2:7" ht="14.25" customHeight="1">
      <c r="B664" s="40"/>
      <c r="D664" s="41"/>
      <c r="F664" s="41"/>
      <c r="G664" s="42"/>
    </row>
    <row r="665" spans="2:7" ht="14.25" customHeight="1">
      <c r="B665" s="40"/>
      <c r="D665" s="41"/>
      <c r="F665" s="41"/>
      <c r="G665" s="42"/>
    </row>
    <row r="666" spans="2:7" ht="14.25" customHeight="1">
      <c r="B666" s="40"/>
      <c r="D666" s="41"/>
      <c r="F666" s="41"/>
      <c r="G666" s="42"/>
    </row>
    <row r="667" spans="2:7" ht="14.25" customHeight="1">
      <c r="B667" s="40"/>
      <c r="D667" s="41"/>
      <c r="F667" s="41"/>
      <c r="G667" s="42"/>
    </row>
    <row r="668" spans="2:7" ht="14.25" customHeight="1">
      <c r="B668" s="40"/>
      <c r="D668" s="41"/>
      <c r="F668" s="41"/>
      <c r="G668" s="42"/>
    </row>
    <row r="669" spans="2:7" ht="14.25" customHeight="1">
      <c r="B669" s="40"/>
      <c r="D669" s="41"/>
      <c r="F669" s="41"/>
      <c r="G669" s="42"/>
    </row>
    <row r="670" spans="2:7" ht="14.25" customHeight="1">
      <c r="B670" s="40"/>
      <c r="D670" s="41"/>
      <c r="F670" s="41"/>
      <c r="G670" s="42"/>
    </row>
    <row r="671" spans="2:7" ht="14.25" customHeight="1">
      <c r="B671" s="40"/>
      <c r="D671" s="41"/>
      <c r="F671" s="41"/>
      <c r="G671" s="42"/>
    </row>
    <row r="672" spans="2:7" ht="14.25" customHeight="1">
      <c r="B672" s="40"/>
      <c r="D672" s="41"/>
      <c r="F672" s="41"/>
      <c r="G672" s="42"/>
    </row>
    <row r="673" spans="2:7" ht="14.25" customHeight="1">
      <c r="B673" s="40"/>
      <c r="D673" s="41"/>
      <c r="F673" s="41"/>
      <c r="G673" s="42"/>
    </row>
    <row r="674" spans="2:7" ht="14.25" customHeight="1">
      <c r="B674" s="40"/>
      <c r="D674" s="41"/>
      <c r="F674" s="41"/>
      <c r="G674" s="42"/>
    </row>
    <row r="675" spans="2:7" ht="14.25" customHeight="1">
      <c r="B675" s="40"/>
      <c r="D675" s="41"/>
      <c r="F675" s="41"/>
      <c r="G675" s="42"/>
    </row>
    <row r="676" spans="2:7" ht="14.25" customHeight="1">
      <c r="B676" s="40"/>
      <c r="D676" s="41"/>
      <c r="F676" s="41"/>
      <c r="G676" s="42"/>
    </row>
    <row r="677" spans="2:7" ht="14.25" customHeight="1">
      <c r="B677" s="40"/>
      <c r="D677" s="41"/>
      <c r="F677" s="41"/>
      <c r="G677" s="42"/>
    </row>
    <row r="678" spans="2:7" ht="14.25" customHeight="1">
      <c r="B678" s="40"/>
      <c r="D678" s="41"/>
      <c r="F678" s="41"/>
      <c r="G678" s="42"/>
    </row>
    <row r="679" spans="2:7" ht="14.25" customHeight="1">
      <c r="B679" s="40"/>
      <c r="D679" s="41"/>
      <c r="F679" s="41"/>
      <c r="G679" s="42"/>
    </row>
    <row r="680" spans="2:7" ht="14.25" customHeight="1">
      <c r="B680" s="40"/>
      <c r="D680" s="41"/>
      <c r="F680" s="41"/>
      <c r="G680" s="42"/>
    </row>
    <row r="681" spans="2:7" ht="14.25" customHeight="1">
      <c r="B681" s="40"/>
      <c r="D681" s="41"/>
      <c r="F681" s="41"/>
      <c r="G681" s="42"/>
    </row>
    <row r="682" spans="2:7" ht="14.25" customHeight="1">
      <c r="B682" s="40"/>
      <c r="D682" s="41"/>
      <c r="F682" s="41"/>
      <c r="G682" s="42"/>
    </row>
    <row r="683" spans="2:7" ht="14.25" customHeight="1">
      <c r="B683" s="40"/>
      <c r="D683" s="41"/>
      <c r="F683" s="41"/>
      <c r="G683" s="42"/>
    </row>
    <row r="684" spans="2:7" ht="14.25" customHeight="1">
      <c r="B684" s="40"/>
      <c r="D684" s="41"/>
      <c r="F684" s="41"/>
      <c r="G684" s="42"/>
    </row>
    <row r="685" spans="2:7" ht="14.25" customHeight="1">
      <c r="B685" s="40"/>
      <c r="D685" s="41"/>
      <c r="F685" s="41"/>
      <c r="G685" s="42"/>
    </row>
    <row r="686" spans="2:7" ht="14.25" customHeight="1">
      <c r="B686" s="40"/>
      <c r="D686" s="41"/>
      <c r="F686" s="41"/>
      <c r="G686" s="42"/>
    </row>
    <row r="687" spans="2:7" ht="14.25" customHeight="1">
      <c r="B687" s="40"/>
      <c r="D687" s="41"/>
      <c r="F687" s="41"/>
      <c r="G687" s="42"/>
    </row>
    <row r="688" spans="2:7" ht="14.25" customHeight="1">
      <c r="B688" s="40"/>
      <c r="D688" s="41"/>
      <c r="F688" s="41"/>
      <c r="G688" s="42"/>
    </row>
    <row r="689" spans="2:7" ht="14.25" customHeight="1">
      <c r="B689" s="40"/>
      <c r="D689" s="41"/>
      <c r="F689" s="41"/>
      <c r="G689" s="42"/>
    </row>
    <row r="690" spans="2:7" ht="14.25" customHeight="1">
      <c r="B690" s="40"/>
      <c r="D690" s="41"/>
      <c r="F690" s="41"/>
      <c r="G690" s="42"/>
    </row>
    <row r="691" spans="2:7" ht="14.25" customHeight="1">
      <c r="B691" s="40"/>
      <c r="D691" s="41"/>
      <c r="F691" s="41"/>
      <c r="G691" s="42"/>
    </row>
    <row r="692" spans="2:7" ht="14.25" customHeight="1">
      <c r="B692" s="40"/>
      <c r="D692" s="41"/>
      <c r="F692" s="41"/>
      <c r="G692" s="42"/>
    </row>
    <row r="693" spans="2:7" ht="14.25" customHeight="1">
      <c r="B693" s="40"/>
      <c r="D693" s="41"/>
      <c r="F693" s="41"/>
      <c r="G693" s="42"/>
    </row>
    <row r="694" spans="2:7" ht="14.25" customHeight="1">
      <c r="B694" s="40"/>
      <c r="D694" s="41"/>
      <c r="F694" s="41"/>
      <c r="G694" s="42"/>
    </row>
    <row r="695" spans="2:7" ht="14.25" customHeight="1">
      <c r="B695" s="40"/>
      <c r="D695" s="41"/>
      <c r="F695" s="41"/>
      <c r="G695" s="42"/>
    </row>
    <row r="696" spans="2:7" ht="14.25" customHeight="1">
      <c r="B696" s="40"/>
      <c r="D696" s="41"/>
      <c r="F696" s="41"/>
      <c r="G696" s="42"/>
    </row>
    <row r="697" spans="2:7" ht="14.25" customHeight="1">
      <c r="B697" s="40"/>
      <c r="D697" s="41"/>
      <c r="F697" s="41"/>
      <c r="G697" s="42"/>
    </row>
    <row r="698" spans="2:7" ht="14.25" customHeight="1">
      <c r="B698" s="40"/>
      <c r="D698" s="41"/>
      <c r="F698" s="41"/>
      <c r="G698" s="42"/>
    </row>
    <row r="699" spans="2:7" ht="14.25" customHeight="1">
      <c r="B699" s="40"/>
      <c r="D699" s="41"/>
      <c r="F699" s="41"/>
      <c r="G699" s="42"/>
    </row>
    <row r="700" spans="2:7" ht="14.25" customHeight="1">
      <c r="B700" s="40"/>
      <c r="D700" s="41"/>
      <c r="F700" s="41"/>
      <c r="G700" s="42"/>
    </row>
    <row r="701" spans="2:7" ht="14.25" customHeight="1">
      <c r="B701" s="40"/>
      <c r="D701" s="41"/>
      <c r="F701" s="41"/>
      <c r="G701" s="42"/>
    </row>
    <row r="702" spans="2:7" ht="14.25" customHeight="1">
      <c r="B702" s="40"/>
      <c r="D702" s="41"/>
      <c r="F702" s="41"/>
      <c r="G702" s="42"/>
    </row>
    <row r="703" spans="2:7" ht="14.25" customHeight="1">
      <c r="B703" s="40"/>
      <c r="D703" s="41"/>
      <c r="F703" s="41"/>
      <c r="G703" s="42"/>
    </row>
    <row r="704" spans="2:7" ht="14.25" customHeight="1">
      <c r="B704" s="40"/>
      <c r="D704" s="41"/>
      <c r="F704" s="41"/>
      <c r="G704" s="42"/>
    </row>
    <row r="705" spans="2:7" ht="14.25" customHeight="1">
      <c r="B705" s="40"/>
      <c r="D705" s="41"/>
      <c r="F705" s="41"/>
      <c r="G705" s="42"/>
    </row>
    <row r="706" spans="2:7" ht="14.25" customHeight="1">
      <c r="B706" s="40"/>
      <c r="D706" s="41"/>
      <c r="F706" s="41"/>
      <c r="G706" s="42"/>
    </row>
    <row r="707" spans="2:7" ht="14.25" customHeight="1">
      <c r="B707" s="40"/>
      <c r="D707" s="41"/>
      <c r="F707" s="41"/>
      <c r="G707" s="42"/>
    </row>
    <row r="708" spans="2:7" ht="14.25" customHeight="1">
      <c r="B708" s="40"/>
      <c r="D708" s="41"/>
      <c r="F708" s="41"/>
      <c r="G708" s="42"/>
    </row>
    <row r="709" spans="2:7" ht="14.25" customHeight="1">
      <c r="B709" s="40"/>
      <c r="D709" s="41"/>
      <c r="F709" s="41"/>
      <c r="G709" s="42"/>
    </row>
    <row r="710" spans="2:7" ht="14.25" customHeight="1">
      <c r="B710" s="40"/>
      <c r="D710" s="41"/>
      <c r="F710" s="41"/>
      <c r="G710" s="42"/>
    </row>
    <row r="711" spans="2:7" ht="14.25" customHeight="1">
      <c r="B711" s="40"/>
      <c r="D711" s="41"/>
      <c r="F711" s="41"/>
      <c r="G711" s="42"/>
    </row>
    <row r="712" spans="2:7" ht="14.25" customHeight="1">
      <c r="B712" s="40"/>
      <c r="D712" s="41"/>
      <c r="F712" s="41"/>
      <c r="G712" s="42"/>
    </row>
    <row r="713" spans="2:7" ht="14.25" customHeight="1">
      <c r="B713" s="40"/>
      <c r="D713" s="41"/>
      <c r="F713" s="41"/>
      <c r="G713" s="42"/>
    </row>
    <row r="714" spans="2:7" ht="14.25" customHeight="1">
      <c r="B714" s="40"/>
      <c r="D714" s="41"/>
      <c r="F714" s="41"/>
      <c r="G714" s="42"/>
    </row>
    <row r="715" spans="2:7" ht="14.25" customHeight="1">
      <c r="B715" s="40"/>
      <c r="D715" s="41"/>
      <c r="F715" s="41"/>
      <c r="G715" s="42"/>
    </row>
    <row r="716" spans="2:7" ht="14.25" customHeight="1">
      <c r="B716" s="40"/>
      <c r="D716" s="41"/>
      <c r="F716" s="41"/>
      <c r="G716" s="42"/>
    </row>
    <row r="717" spans="2:7" ht="14.25" customHeight="1">
      <c r="B717" s="40"/>
      <c r="D717" s="41"/>
      <c r="F717" s="41"/>
      <c r="G717" s="42"/>
    </row>
    <row r="718" spans="2:7" ht="14.25" customHeight="1">
      <c r="B718" s="40"/>
      <c r="D718" s="41"/>
      <c r="F718" s="41"/>
      <c r="G718" s="42"/>
    </row>
    <row r="719" spans="2:7" ht="14.25" customHeight="1">
      <c r="B719" s="40"/>
      <c r="D719" s="41"/>
      <c r="F719" s="41"/>
      <c r="G719" s="42"/>
    </row>
    <row r="720" spans="2:7" ht="14.25" customHeight="1">
      <c r="B720" s="40"/>
      <c r="D720" s="41"/>
      <c r="F720" s="41"/>
      <c r="G720" s="42"/>
    </row>
    <row r="721" spans="2:7" ht="14.25" customHeight="1">
      <c r="B721" s="40"/>
      <c r="D721" s="41"/>
      <c r="F721" s="41"/>
      <c r="G721" s="42"/>
    </row>
    <row r="722" spans="2:7" ht="14.25" customHeight="1">
      <c r="B722" s="40"/>
      <c r="D722" s="41"/>
      <c r="F722" s="41"/>
      <c r="G722" s="42"/>
    </row>
    <row r="723" spans="2:7" ht="14.25" customHeight="1">
      <c r="B723" s="40"/>
      <c r="D723" s="41"/>
      <c r="F723" s="41"/>
      <c r="G723" s="42"/>
    </row>
    <row r="724" spans="2:7" ht="14.25" customHeight="1">
      <c r="B724" s="40"/>
      <c r="D724" s="41"/>
      <c r="F724" s="41"/>
      <c r="G724" s="42"/>
    </row>
    <row r="725" spans="2:7" ht="14.25" customHeight="1">
      <c r="B725" s="40"/>
      <c r="D725" s="41"/>
      <c r="F725" s="41"/>
      <c r="G725" s="42"/>
    </row>
    <row r="726" spans="2:7" ht="14.25" customHeight="1">
      <c r="B726" s="40"/>
      <c r="D726" s="41"/>
      <c r="F726" s="41"/>
      <c r="G726" s="42"/>
    </row>
    <row r="727" spans="2:7" ht="14.25" customHeight="1">
      <c r="B727" s="40"/>
      <c r="D727" s="41"/>
      <c r="F727" s="41"/>
      <c r="G727" s="42"/>
    </row>
    <row r="728" spans="2:7" ht="14.25" customHeight="1">
      <c r="B728" s="40"/>
      <c r="D728" s="41"/>
      <c r="F728" s="41"/>
      <c r="G728" s="42"/>
    </row>
    <row r="729" spans="2:7" ht="14.25" customHeight="1">
      <c r="B729" s="40"/>
      <c r="D729" s="41"/>
      <c r="F729" s="41"/>
      <c r="G729" s="42"/>
    </row>
    <row r="730" spans="2:7" ht="14.25" customHeight="1">
      <c r="B730" s="40"/>
      <c r="D730" s="41"/>
      <c r="F730" s="41"/>
      <c r="G730" s="42"/>
    </row>
    <row r="731" spans="2:7" ht="14.25" customHeight="1">
      <c r="B731" s="40"/>
      <c r="D731" s="41"/>
      <c r="F731" s="41"/>
      <c r="G731" s="42"/>
    </row>
    <row r="732" spans="2:7" ht="14.25" customHeight="1">
      <c r="B732" s="40"/>
      <c r="D732" s="41"/>
      <c r="F732" s="41"/>
      <c r="G732" s="42"/>
    </row>
    <row r="733" spans="2:7" ht="14.25" customHeight="1">
      <c r="B733" s="40"/>
      <c r="D733" s="41"/>
      <c r="F733" s="41"/>
      <c r="G733" s="42"/>
    </row>
    <row r="734" spans="2:7" ht="14.25" customHeight="1">
      <c r="B734" s="40"/>
      <c r="D734" s="41"/>
      <c r="F734" s="41"/>
      <c r="G734" s="42"/>
    </row>
    <row r="735" spans="2:7" ht="14.25" customHeight="1">
      <c r="B735" s="40"/>
      <c r="D735" s="41"/>
      <c r="F735" s="41"/>
      <c r="G735" s="42"/>
    </row>
    <row r="736" spans="2:7" ht="14.25" customHeight="1">
      <c r="B736" s="40"/>
      <c r="D736" s="41"/>
      <c r="F736" s="41"/>
      <c r="G736" s="42"/>
    </row>
    <row r="737" spans="2:7" ht="14.25" customHeight="1">
      <c r="B737" s="40"/>
      <c r="D737" s="41"/>
      <c r="F737" s="41"/>
      <c r="G737" s="42"/>
    </row>
    <row r="738" spans="2:7" ht="14.25" customHeight="1">
      <c r="B738" s="40"/>
      <c r="D738" s="41"/>
      <c r="F738" s="41"/>
      <c r="G738" s="42"/>
    </row>
    <row r="739" spans="2:7" ht="14.25" customHeight="1">
      <c r="B739" s="40"/>
      <c r="D739" s="41"/>
      <c r="F739" s="41"/>
      <c r="G739" s="42"/>
    </row>
    <row r="740" spans="2:7" ht="14.25" customHeight="1">
      <c r="B740" s="40"/>
      <c r="D740" s="41"/>
      <c r="F740" s="41"/>
      <c r="G740" s="42"/>
    </row>
    <row r="741" spans="2:7" ht="14.25" customHeight="1">
      <c r="B741" s="40"/>
      <c r="D741" s="41"/>
      <c r="F741" s="41"/>
      <c r="G741" s="42"/>
    </row>
    <row r="742" spans="2:7" ht="14.25" customHeight="1">
      <c r="B742" s="40"/>
      <c r="D742" s="41"/>
      <c r="F742" s="41"/>
      <c r="G742" s="42"/>
    </row>
    <row r="743" spans="2:7" ht="14.25" customHeight="1">
      <c r="B743" s="40"/>
      <c r="D743" s="41"/>
      <c r="F743" s="41"/>
      <c r="G743" s="42"/>
    </row>
    <row r="744" spans="2:7" ht="14.25" customHeight="1">
      <c r="B744" s="40"/>
      <c r="D744" s="41"/>
      <c r="F744" s="41"/>
      <c r="G744" s="42"/>
    </row>
    <row r="745" spans="2:7" ht="14.25" customHeight="1">
      <c r="B745" s="40"/>
      <c r="D745" s="41"/>
      <c r="F745" s="41"/>
      <c r="G745" s="42"/>
    </row>
    <row r="746" spans="2:7" ht="14.25" customHeight="1">
      <c r="B746" s="40"/>
      <c r="D746" s="41"/>
      <c r="F746" s="41"/>
      <c r="G746" s="42"/>
    </row>
    <row r="747" spans="2:7" ht="14.25" customHeight="1">
      <c r="B747" s="40"/>
      <c r="D747" s="41"/>
      <c r="F747" s="41"/>
      <c r="G747" s="42"/>
    </row>
    <row r="748" spans="2:7" ht="14.25" customHeight="1">
      <c r="B748" s="40"/>
      <c r="D748" s="41"/>
      <c r="F748" s="41"/>
      <c r="G748" s="42"/>
    </row>
    <row r="749" spans="2:7" ht="14.25" customHeight="1">
      <c r="B749" s="40"/>
      <c r="D749" s="41"/>
      <c r="F749" s="41"/>
      <c r="G749" s="42"/>
    </row>
    <row r="750" spans="2:7" ht="14.25" customHeight="1">
      <c r="B750" s="40"/>
      <c r="D750" s="41"/>
      <c r="F750" s="41"/>
      <c r="G750" s="42"/>
    </row>
    <row r="751" spans="2:7" ht="14.25" customHeight="1">
      <c r="B751" s="40"/>
      <c r="D751" s="41"/>
      <c r="F751" s="41"/>
      <c r="G751" s="42"/>
    </row>
    <row r="752" spans="2:7" ht="14.25" customHeight="1">
      <c r="B752" s="40"/>
      <c r="D752" s="41"/>
      <c r="F752" s="41"/>
      <c r="G752" s="42"/>
    </row>
    <row r="753" spans="2:7" ht="14.25" customHeight="1">
      <c r="B753" s="40"/>
      <c r="D753" s="41"/>
      <c r="F753" s="41"/>
      <c r="G753" s="42"/>
    </row>
    <row r="754" spans="2:7" ht="14.25" customHeight="1">
      <c r="B754" s="40"/>
      <c r="D754" s="41"/>
      <c r="F754" s="41"/>
      <c r="G754" s="42"/>
    </row>
    <row r="755" spans="2:7" ht="14.25" customHeight="1">
      <c r="B755" s="40"/>
      <c r="D755" s="41"/>
      <c r="F755" s="41"/>
      <c r="G755" s="42"/>
    </row>
    <row r="756" spans="2:7" ht="14.25" customHeight="1">
      <c r="B756" s="40"/>
      <c r="D756" s="41"/>
      <c r="F756" s="41"/>
      <c r="G756" s="42"/>
    </row>
    <row r="757" spans="2:7" ht="14.25" customHeight="1">
      <c r="B757" s="40"/>
      <c r="D757" s="41"/>
      <c r="F757" s="41"/>
      <c r="G757" s="42"/>
    </row>
    <row r="758" spans="2:7" ht="14.25" customHeight="1">
      <c r="B758" s="40"/>
      <c r="D758" s="41"/>
      <c r="F758" s="41"/>
      <c r="G758" s="42"/>
    </row>
    <row r="759" spans="2:7" ht="14.25" customHeight="1">
      <c r="B759" s="40"/>
      <c r="D759" s="41"/>
      <c r="F759" s="41"/>
      <c r="G759" s="42"/>
    </row>
    <row r="760" spans="2:7" ht="14.25" customHeight="1">
      <c r="B760" s="40"/>
      <c r="D760" s="41"/>
      <c r="F760" s="41"/>
      <c r="G760" s="42"/>
    </row>
    <row r="761" spans="2:7" ht="14.25" customHeight="1">
      <c r="B761" s="40"/>
      <c r="D761" s="41"/>
      <c r="F761" s="41"/>
      <c r="G761" s="42"/>
    </row>
    <row r="762" spans="2:7" ht="14.25" customHeight="1">
      <c r="B762" s="40"/>
      <c r="D762" s="41"/>
      <c r="F762" s="41"/>
      <c r="G762" s="42"/>
    </row>
    <row r="763" spans="2:7" ht="14.25" customHeight="1">
      <c r="B763" s="40"/>
      <c r="D763" s="41"/>
      <c r="F763" s="41"/>
      <c r="G763" s="42"/>
    </row>
    <row r="764" spans="2:7" ht="14.25" customHeight="1">
      <c r="B764" s="40"/>
      <c r="D764" s="41"/>
      <c r="F764" s="41"/>
      <c r="G764" s="42"/>
    </row>
    <row r="765" spans="2:7" ht="14.25" customHeight="1">
      <c r="B765" s="40"/>
      <c r="D765" s="41"/>
      <c r="F765" s="41"/>
      <c r="G765" s="42"/>
    </row>
    <row r="766" spans="2:7" ht="14.25" customHeight="1">
      <c r="B766" s="40"/>
      <c r="D766" s="41"/>
      <c r="F766" s="41"/>
      <c r="G766" s="42"/>
    </row>
    <row r="767" spans="2:7" ht="14.25" customHeight="1">
      <c r="B767" s="40"/>
      <c r="D767" s="41"/>
      <c r="F767" s="41"/>
      <c r="G767" s="42"/>
    </row>
    <row r="768" spans="2:7" ht="14.25" customHeight="1">
      <c r="B768" s="40"/>
      <c r="D768" s="41"/>
      <c r="F768" s="41"/>
      <c r="G768" s="42"/>
    </row>
    <row r="769" spans="2:7" ht="14.25" customHeight="1">
      <c r="B769" s="40"/>
      <c r="D769" s="41"/>
      <c r="F769" s="41"/>
      <c r="G769" s="42"/>
    </row>
    <row r="770" spans="2:7" ht="14.25" customHeight="1">
      <c r="B770" s="40"/>
      <c r="D770" s="41"/>
      <c r="F770" s="41"/>
      <c r="G770" s="42"/>
    </row>
    <row r="771" spans="2:7" ht="14.25" customHeight="1">
      <c r="B771" s="40"/>
      <c r="D771" s="41"/>
      <c r="F771" s="41"/>
      <c r="G771" s="42"/>
    </row>
    <row r="772" spans="2:7" ht="14.25" customHeight="1">
      <c r="B772" s="40"/>
      <c r="D772" s="41"/>
      <c r="F772" s="41"/>
      <c r="G772" s="42"/>
    </row>
    <row r="773" spans="2:7" ht="14.25" customHeight="1">
      <c r="B773" s="40"/>
      <c r="D773" s="41"/>
      <c r="F773" s="41"/>
      <c r="G773" s="42"/>
    </row>
    <row r="774" spans="2:7" ht="14.25" customHeight="1">
      <c r="B774" s="40"/>
      <c r="D774" s="41"/>
      <c r="F774" s="41"/>
      <c r="G774" s="42"/>
    </row>
    <row r="775" spans="2:7" ht="14.25" customHeight="1">
      <c r="B775" s="40"/>
      <c r="D775" s="41"/>
      <c r="F775" s="41"/>
      <c r="G775" s="42"/>
    </row>
    <row r="776" spans="2:7" ht="14.25" customHeight="1">
      <c r="B776" s="40"/>
      <c r="D776" s="41"/>
      <c r="F776" s="41"/>
      <c r="G776" s="42"/>
    </row>
    <row r="777" spans="2:7" ht="14.25" customHeight="1">
      <c r="B777" s="40"/>
      <c r="D777" s="41"/>
      <c r="F777" s="41"/>
      <c r="G777" s="42"/>
    </row>
    <row r="778" spans="2:7" ht="14.25" customHeight="1">
      <c r="B778" s="40"/>
      <c r="D778" s="41"/>
      <c r="F778" s="41"/>
      <c r="G778" s="42"/>
    </row>
    <row r="779" spans="2:7" ht="14.25" customHeight="1">
      <c r="B779" s="40"/>
      <c r="D779" s="41"/>
      <c r="F779" s="41"/>
      <c r="G779" s="42"/>
    </row>
    <row r="780" spans="2:7" ht="14.25" customHeight="1">
      <c r="B780" s="40"/>
      <c r="D780" s="41"/>
      <c r="F780" s="41"/>
      <c r="G780" s="42"/>
    </row>
    <row r="781" spans="2:7" ht="14.25" customHeight="1">
      <c r="B781" s="40"/>
      <c r="D781" s="41"/>
      <c r="F781" s="41"/>
      <c r="G781" s="42"/>
    </row>
    <row r="782" spans="2:7" ht="14.25" customHeight="1">
      <c r="B782" s="40"/>
      <c r="D782" s="41"/>
      <c r="F782" s="41"/>
      <c r="G782" s="42"/>
    </row>
    <row r="783" spans="2:7" ht="14.25" customHeight="1">
      <c r="B783" s="40"/>
      <c r="D783" s="41"/>
      <c r="F783" s="41"/>
      <c r="G783" s="42"/>
    </row>
    <row r="784" spans="2:7" ht="14.25" customHeight="1">
      <c r="B784" s="40"/>
      <c r="D784" s="41"/>
      <c r="F784" s="41"/>
      <c r="G784" s="42"/>
    </row>
    <row r="785" spans="2:7" ht="14.25" customHeight="1">
      <c r="B785" s="40"/>
      <c r="D785" s="41"/>
      <c r="F785" s="41"/>
      <c r="G785" s="42"/>
    </row>
    <row r="786" spans="2:7" ht="14.25" customHeight="1">
      <c r="B786" s="40"/>
      <c r="D786" s="41"/>
      <c r="F786" s="41"/>
      <c r="G786" s="42"/>
    </row>
    <row r="787" spans="2:7" ht="14.25" customHeight="1">
      <c r="B787" s="40"/>
      <c r="D787" s="41"/>
      <c r="F787" s="41"/>
      <c r="G787" s="42"/>
    </row>
    <row r="788" spans="2:7" ht="14.25" customHeight="1">
      <c r="B788" s="40"/>
      <c r="D788" s="41"/>
      <c r="F788" s="41"/>
      <c r="G788" s="42"/>
    </row>
    <row r="789" spans="2:7" ht="14.25" customHeight="1">
      <c r="B789" s="40"/>
      <c r="D789" s="41"/>
      <c r="F789" s="41"/>
      <c r="G789" s="42"/>
    </row>
    <row r="790" spans="2:7" ht="14.25" customHeight="1">
      <c r="B790" s="40"/>
      <c r="D790" s="41"/>
      <c r="F790" s="41"/>
      <c r="G790" s="42"/>
    </row>
    <row r="791" spans="2:7" ht="14.25" customHeight="1">
      <c r="B791" s="40"/>
      <c r="D791" s="41"/>
      <c r="F791" s="41"/>
      <c r="G791" s="42"/>
    </row>
    <row r="792" spans="2:7" ht="14.25" customHeight="1">
      <c r="B792" s="40"/>
      <c r="D792" s="41"/>
      <c r="F792" s="41"/>
      <c r="G792" s="42"/>
    </row>
    <row r="793" spans="2:7" ht="14.25" customHeight="1">
      <c r="B793" s="40"/>
      <c r="D793" s="41"/>
      <c r="F793" s="41"/>
      <c r="G793" s="42"/>
    </row>
    <row r="794" spans="2:7" ht="14.25" customHeight="1">
      <c r="B794" s="40"/>
      <c r="D794" s="41"/>
      <c r="F794" s="41"/>
      <c r="G794" s="42"/>
    </row>
    <row r="795" spans="2:7" ht="14.25" customHeight="1">
      <c r="B795" s="40"/>
      <c r="D795" s="41"/>
      <c r="F795" s="41"/>
      <c r="G795" s="42"/>
    </row>
    <row r="796" spans="2:7" ht="14.25" customHeight="1">
      <c r="B796" s="40"/>
      <c r="D796" s="41"/>
      <c r="F796" s="41"/>
      <c r="G796" s="42"/>
    </row>
    <row r="797" spans="2:7" ht="14.25" customHeight="1">
      <c r="B797" s="40"/>
      <c r="D797" s="41"/>
      <c r="F797" s="41"/>
      <c r="G797" s="42"/>
    </row>
    <row r="798" spans="2:7" ht="14.25" customHeight="1">
      <c r="B798" s="40"/>
      <c r="D798" s="41"/>
      <c r="F798" s="41"/>
      <c r="G798" s="42"/>
    </row>
    <row r="799" spans="2:7" ht="14.25" customHeight="1">
      <c r="B799" s="40"/>
      <c r="D799" s="41"/>
      <c r="F799" s="41"/>
      <c r="G799" s="42"/>
    </row>
    <row r="800" spans="2:7" ht="14.25" customHeight="1">
      <c r="B800" s="40"/>
      <c r="D800" s="41"/>
      <c r="F800" s="41"/>
      <c r="G800" s="42"/>
    </row>
    <row r="801" spans="2:7" ht="14.25" customHeight="1">
      <c r="B801" s="40"/>
      <c r="D801" s="41"/>
      <c r="F801" s="41"/>
      <c r="G801" s="42"/>
    </row>
    <row r="802" spans="2:7" ht="14.25" customHeight="1">
      <c r="B802" s="40"/>
      <c r="D802" s="41"/>
      <c r="F802" s="41"/>
      <c r="G802" s="42"/>
    </row>
    <row r="803" spans="2:7" ht="14.25" customHeight="1">
      <c r="B803" s="40"/>
      <c r="D803" s="41"/>
      <c r="F803" s="41"/>
      <c r="G803" s="42"/>
    </row>
    <row r="804" spans="2:7" ht="14.25" customHeight="1">
      <c r="B804" s="40"/>
      <c r="D804" s="41"/>
      <c r="F804" s="41"/>
      <c r="G804" s="42"/>
    </row>
    <row r="805" spans="2:7" ht="14.25" customHeight="1">
      <c r="B805" s="40"/>
      <c r="D805" s="41"/>
      <c r="F805" s="41"/>
      <c r="G805" s="42"/>
    </row>
    <row r="806" spans="2:7" ht="14.25" customHeight="1">
      <c r="B806" s="40"/>
      <c r="D806" s="41"/>
      <c r="F806" s="41"/>
      <c r="G806" s="42"/>
    </row>
    <row r="807" spans="2:7" ht="14.25" customHeight="1">
      <c r="B807" s="40"/>
      <c r="D807" s="41"/>
      <c r="F807" s="41"/>
      <c r="G807" s="42"/>
    </row>
    <row r="808" spans="2:7" ht="14.25" customHeight="1">
      <c r="B808" s="40"/>
      <c r="D808" s="41"/>
      <c r="F808" s="41"/>
      <c r="G808" s="42"/>
    </row>
    <row r="809" spans="2:7" ht="14.25" customHeight="1">
      <c r="B809" s="40"/>
      <c r="D809" s="41"/>
      <c r="F809" s="41"/>
      <c r="G809" s="42"/>
    </row>
    <row r="810" spans="2:7" ht="14.25" customHeight="1">
      <c r="B810" s="40"/>
      <c r="D810" s="41"/>
      <c r="F810" s="41"/>
      <c r="G810" s="42"/>
    </row>
    <row r="811" spans="2:7" ht="14.25" customHeight="1">
      <c r="B811" s="40"/>
      <c r="D811" s="41"/>
      <c r="F811" s="41"/>
      <c r="G811" s="42"/>
    </row>
    <row r="812" spans="2:7" ht="14.25" customHeight="1">
      <c r="B812" s="40"/>
      <c r="D812" s="41"/>
      <c r="F812" s="41"/>
      <c r="G812" s="42"/>
    </row>
    <row r="813" spans="2:7" ht="14.25" customHeight="1">
      <c r="B813" s="40"/>
      <c r="D813" s="41"/>
      <c r="F813" s="41"/>
      <c r="G813" s="42"/>
    </row>
    <row r="814" spans="2:7" ht="14.25" customHeight="1">
      <c r="B814" s="40"/>
      <c r="D814" s="41"/>
      <c r="F814" s="41"/>
      <c r="G814" s="42"/>
    </row>
    <row r="815" spans="2:7" ht="14.25" customHeight="1">
      <c r="B815" s="40"/>
      <c r="D815" s="41"/>
      <c r="F815" s="41"/>
      <c r="G815" s="42"/>
    </row>
    <row r="816" spans="2:7" ht="14.25" customHeight="1">
      <c r="B816" s="40"/>
      <c r="D816" s="41"/>
      <c r="F816" s="41"/>
      <c r="G816" s="42"/>
    </row>
    <row r="817" spans="2:7" ht="14.25" customHeight="1">
      <c r="B817" s="40"/>
      <c r="D817" s="41"/>
      <c r="F817" s="41"/>
      <c r="G817" s="42"/>
    </row>
    <row r="818" spans="2:7" ht="14.25" customHeight="1">
      <c r="B818" s="40"/>
      <c r="D818" s="41"/>
      <c r="F818" s="41"/>
      <c r="G818" s="42"/>
    </row>
    <row r="819" spans="2:7" ht="14.25" customHeight="1">
      <c r="B819" s="40"/>
      <c r="D819" s="41"/>
      <c r="F819" s="41"/>
      <c r="G819" s="42"/>
    </row>
    <row r="820" spans="2:7" ht="14.25" customHeight="1">
      <c r="B820" s="40"/>
      <c r="D820" s="41"/>
      <c r="F820" s="41"/>
      <c r="G820" s="42"/>
    </row>
    <row r="821" spans="2:7" ht="14.25" customHeight="1">
      <c r="B821" s="40"/>
      <c r="D821" s="41"/>
      <c r="F821" s="41"/>
      <c r="G821" s="42"/>
    </row>
    <row r="822" spans="2:7" ht="14.25" customHeight="1">
      <c r="B822" s="40"/>
      <c r="D822" s="41"/>
      <c r="F822" s="41"/>
      <c r="G822" s="42"/>
    </row>
    <row r="823" spans="2:7" ht="14.25" customHeight="1">
      <c r="B823" s="40"/>
      <c r="D823" s="41"/>
      <c r="F823" s="41"/>
      <c r="G823" s="42"/>
    </row>
    <row r="824" spans="2:7" ht="14.25" customHeight="1">
      <c r="B824" s="40"/>
      <c r="D824" s="41"/>
      <c r="F824" s="41"/>
      <c r="G824" s="42"/>
    </row>
    <row r="825" spans="2:7" ht="14.25" customHeight="1">
      <c r="B825" s="40"/>
      <c r="D825" s="41"/>
      <c r="F825" s="41"/>
      <c r="G825" s="42"/>
    </row>
    <row r="826" spans="2:7" ht="14.25" customHeight="1">
      <c r="B826" s="40"/>
      <c r="D826" s="41"/>
      <c r="F826" s="41"/>
      <c r="G826" s="42"/>
    </row>
    <row r="827" spans="2:7" ht="14.25" customHeight="1">
      <c r="B827" s="40"/>
      <c r="D827" s="41"/>
      <c r="F827" s="41"/>
      <c r="G827" s="42"/>
    </row>
    <row r="828" spans="2:7" ht="14.25" customHeight="1">
      <c r="B828" s="40"/>
      <c r="D828" s="41"/>
      <c r="F828" s="41"/>
      <c r="G828" s="42"/>
    </row>
    <row r="829" spans="2:7" ht="14.25" customHeight="1">
      <c r="B829" s="40"/>
      <c r="D829" s="41"/>
      <c r="F829" s="41"/>
      <c r="G829" s="42"/>
    </row>
    <row r="830" spans="2:7" ht="14.25" customHeight="1">
      <c r="B830" s="40"/>
      <c r="D830" s="41"/>
      <c r="F830" s="41"/>
      <c r="G830" s="42"/>
    </row>
    <row r="831" spans="2:7" ht="14.25" customHeight="1">
      <c r="B831" s="40"/>
      <c r="D831" s="41"/>
      <c r="F831" s="41"/>
      <c r="G831" s="42"/>
    </row>
    <row r="832" spans="2:7" ht="14.25" customHeight="1">
      <c r="B832" s="40"/>
      <c r="D832" s="41"/>
      <c r="F832" s="41"/>
      <c r="G832" s="42"/>
    </row>
    <row r="833" spans="2:7" ht="14.25" customHeight="1">
      <c r="B833" s="40"/>
      <c r="D833" s="41"/>
      <c r="F833" s="41"/>
      <c r="G833" s="42"/>
    </row>
    <row r="834" spans="2:7" ht="14.25" customHeight="1">
      <c r="B834" s="40"/>
      <c r="D834" s="41"/>
      <c r="F834" s="41"/>
      <c r="G834" s="42"/>
    </row>
    <row r="835" spans="2:7" ht="14.25" customHeight="1">
      <c r="B835" s="40"/>
      <c r="D835" s="41"/>
      <c r="F835" s="41"/>
      <c r="G835" s="42"/>
    </row>
    <row r="836" spans="2:7" ht="14.25" customHeight="1">
      <c r="B836" s="40"/>
      <c r="D836" s="41"/>
      <c r="F836" s="41"/>
      <c r="G836" s="42"/>
    </row>
    <row r="837" spans="2:7" ht="14.25" customHeight="1">
      <c r="B837" s="40"/>
      <c r="D837" s="41"/>
      <c r="F837" s="41"/>
      <c r="G837" s="42"/>
    </row>
    <row r="838" spans="2:7" ht="14.25" customHeight="1">
      <c r="B838" s="40"/>
      <c r="D838" s="41"/>
      <c r="F838" s="41"/>
      <c r="G838" s="42"/>
    </row>
    <row r="839" spans="2:7" ht="14.25" customHeight="1">
      <c r="B839" s="40"/>
      <c r="D839" s="41"/>
      <c r="F839" s="41"/>
      <c r="G839" s="42"/>
    </row>
    <row r="840" spans="2:7" ht="14.25" customHeight="1">
      <c r="B840" s="40"/>
      <c r="D840" s="41"/>
      <c r="F840" s="41"/>
      <c r="G840" s="42"/>
    </row>
    <row r="841" spans="2:7" ht="14.25" customHeight="1">
      <c r="B841" s="40"/>
      <c r="D841" s="41"/>
      <c r="F841" s="41"/>
      <c r="G841" s="42"/>
    </row>
    <row r="842" spans="2:7" ht="14.25" customHeight="1">
      <c r="B842" s="40"/>
      <c r="D842" s="41"/>
      <c r="F842" s="41"/>
      <c r="G842" s="42"/>
    </row>
    <row r="843" spans="2:7" ht="14.25" customHeight="1">
      <c r="B843" s="40"/>
      <c r="D843" s="41"/>
      <c r="F843" s="41"/>
      <c r="G843" s="42"/>
    </row>
    <row r="844" spans="2:7" ht="14.25" customHeight="1">
      <c r="B844" s="40"/>
      <c r="D844" s="41"/>
      <c r="F844" s="41"/>
      <c r="G844" s="42"/>
    </row>
    <row r="845" spans="2:7" ht="14.25" customHeight="1">
      <c r="B845" s="40"/>
      <c r="D845" s="41"/>
      <c r="F845" s="41"/>
      <c r="G845" s="42"/>
    </row>
    <row r="846" spans="2:7" ht="14.25" customHeight="1">
      <c r="B846" s="40"/>
      <c r="D846" s="41"/>
      <c r="F846" s="41"/>
      <c r="G846" s="42"/>
    </row>
    <row r="847" spans="2:7" ht="14.25" customHeight="1">
      <c r="B847" s="40"/>
      <c r="D847" s="41"/>
      <c r="F847" s="41"/>
      <c r="G847" s="42"/>
    </row>
    <row r="848" spans="2:7" ht="14.25" customHeight="1">
      <c r="B848" s="40"/>
      <c r="D848" s="41"/>
      <c r="F848" s="41"/>
      <c r="G848" s="42"/>
    </row>
    <row r="849" spans="2:7" ht="14.25" customHeight="1">
      <c r="B849" s="40"/>
      <c r="D849" s="41"/>
      <c r="F849" s="41"/>
      <c r="G849" s="42"/>
    </row>
    <row r="850" spans="2:7" ht="14.25" customHeight="1">
      <c r="B850" s="40"/>
      <c r="D850" s="41"/>
      <c r="F850" s="41"/>
      <c r="G850" s="42"/>
    </row>
    <row r="851" spans="2:7" ht="14.25" customHeight="1">
      <c r="B851" s="40"/>
      <c r="D851" s="41"/>
      <c r="F851" s="41"/>
      <c r="G851" s="42"/>
    </row>
    <row r="852" spans="2:7" ht="14.25" customHeight="1">
      <c r="B852" s="40"/>
      <c r="D852" s="41"/>
      <c r="F852" s="41"/>
      <c r="G852" s="42"/>
    </row>
    <row r="853" spans="2:7" ht="14.25" customHeight="1">
      <c r="B853" s="40"/>
      <c r="D853" s="41"/>
      <c r="F853" s="41"/>
      <c r="G853" s="42"/>
    </row>
    <row r="854" spans="2:7" ht="14.25" customHeight="1">
      <c r="B854" s="40"/>
      <c r="D854" s="41"/>
      <c r="F854" s="41"/>
      <c r="G854" s="42"/>
    </row>
    <row r="855" spans="2:7" ht="14.25" customHeight="1">
      <c r="B855" s="40"/>
      <c r="D855" s="41"/>
      <c r="F855" s="41"/>
      <c r="G855" s="42"/>
    </row>
    <row r="856" spans="2:7" ht="14.25" customHeight="1">
      <c r="B856" s="40"/>
      <c r="D856" s="41"/>
      <c r="F856" s="41"/>
      <c r="G856" s="42"/>
    </row>
    <row r="857" spans="2:7" ht="14.25" customHeight="1">
      <c r="B857" s="40"/>
      <c r="D857" s="41"/>
      <c r="F857" s="41"/>
      <c r="G857" s="42"/>
    </row>
    <row r="858" spans="2:7" ht="14.25" customHeight="1">
      <c r="B858" s="40"/>
      <c r="D858" s="41"/>
      <c r="F858" s="41"/>
      <c r="G858" s="42"/>
    </row>
    <row r="859" spans="2:7" ht="14.25" customHeight="1">
      <c r="B859" s="40"/>
      <c r="D859" s="41"/>
      <c r="F859" s="41"/>
      <c r="G859" s="42"/>
    </row>
    <row r="860" spans="2:7" ht="14.25" customHeight="1">
      <c r="B860" s="40"/>
      <c r="D860" s="41"/>
      <c r="F860" s="41"/>
      <c r="G860" s="42"/>
    </row>
    <row r="861" spans="2:7" ht="14.25" customHeight="1">
      <c r="B861" s="40"/>
      <c r="D861" s="41"/>
      <c r="F861" s="41"/>
      <c r="G861" s="42"/>
    </row>
    <row r="862" spans="2:7" ht="14.25" customHeight="1">
      <c r="B862" s="40"/>
      <c r="D862" s="41"/>
      <c r="F862" s="41"/>
      <c r="G862" s="42"/>
    </row>
    <row r="863" spans="2:7" ht="14.25" customHeight="1">
      <c r="B863" s="40"/>
      <c r="D863" s="41"/>
      <c r="F863" s="41"/>
      <c r="G863" s="42"/>
    </row>
    <row r="864" spans="2:7" ht="14.25" customHeight="1">
      <c r="B864" s="40"/>
      <c r="D864" s="41"/>
      <c r="F864" s="41"/>
      <c r="G864" s="42"/>
    </row>
    <row r="865" spans="2:7" ht="14.25" customHeight="1">
      <c r="B865" s="40"/>
      <c r="D865" s="41"/>
      <c r="F865" s="41"/>
      <c r="G865" s="42"/>
    </row>
    <row r="866" spans="2:7" ht="14.25" customHeight="1">
      <c r="B866" s="40"/>
      <c r="D866" s="41"/>
      <c r="F866" s="41"/>
      <c r="G866" s="42"/>
    </row>
    <row r="867" spans="2:7" ht="14.25" customHeight="1">
      <c r="B867" s="40"/>
      <c r="D867" s="41"/>
      <c r="F867" s="41"/>
      <c r="G867" s="42"/>
    </row>
    <row r="868" spans="2:7" ht="14.25" customHeight="1">
      <c r="B868" s="40"/>
      <c r="D868" s="41"/>
      <c r="F868" s="41"/>
      <c r="G868" s="42"/>
    </row>
    <row r="869" spans="2:7" ht="14.25" customHeight="1">
      <c r="B869" s="40"/>
      <c r="D869" s="41"/>
      <c r="F869" s="41"/>
      <c r="G869" s="42"/>
    </row>
    <row r="870" spans="2:7" ht="14.25" customHeight="1">
      <c r="B870" s="40"/>
      <c r="D870" s="41"/>
      <c r="F870" s="41"/>
      <c r="G870" s="42"/>
    </row>
    <row r="871" spans="2:7" ht="14.25" customHeight="1">
      <c r="B871" s="40"/>
      <c r="D871" s="41"/>
      <c r="F871" s="41"/>
      <c r="G871" s="42"/>
    </row>
    <row r="872" spans="2:7" ht="14.25" customHeight="1">
      <c r="B872" s="40"/>
      <c r="D872" s="41"/>
      <c r="F872" s="41"/>
      <c r="G872" s="42"/>
    </row>
    <row r="873" spans="2:7" ht="14.25" customHeight="1">
      <c r="B873" s="40"/>
      <c r="D873" s="41"/>
      <c r="F873" s="41"/>
      <c r="G873" s="42"/>
    </row>
    <row r="874" spans="2:7" ht="14.25" customHeight="1">
      <c r="B874" s="40"/>
      <c r="D874" s="41"/>
      <c r="F874" s="41"/>
      <c r="G874" s="42"/>
    </row>
    <row r="875" spans="2:7" ht="14.25" customHeight="1">
      <c r="B875" s="40"/>
      <c r="D875" s="41"/>
      <c r="F875" s="41"/>
      <c r="G875" s="42"/>
    </row>
    <row r="876" spans="2:7" ht="14.25" customHeight="1">
      <c r="B876" s="40"/>
      <c r="D876" s="41"/>
      <c r="F876" s="41"/>
      <c r="G876" s="42"/>
    </row>
    <row r="877" spans="2:7" ht="14.25" customHeight="1">
      <c r="B877" s="40"/>
      <c r="D877" s="41"/>
      <c r="F877" s="41"/>
      <c r="G877" s="42"/>
    </row>
    <row r="878" spans="2:7" ht="14.25" customHeight="1">
      <c r="B878" s="40"/>
      <c r="D878" s="41"/>
      <c r="F878" s="41"/>
      <c r="G878" s="42"/>
    </row>
    <row r="879" spans="2:7" ht="14.25" customHeight="1">
      <c r="B879" s="40"/>
      <c r="D879" s="41"/>
      <c r="F879" s="41"/>
      <c r="G879" s="42"/>
    </row>
    <row r="880" spans="2:7" ht="14.25" customHeight="1">
      <c r="B880" s="40"/>
      <c r="D880" s="41"/>
      <c r="F880" s="41"/>
      <c r="G880" s="42"/>
    </row>
    <row r="881" spans="2:7" ht="14.25" customHeight="1">
      <c r="B881" s="40"/>
      <c r="D881" s="41"/>
      <c r="F881" s="41"/>
      <c r="G881" s="42"/>
    </row>
    <row r="882" spans="2:7" ht="14.25" customHeight="1">
      <c r="B882" s="40"/>
      <c r="D882" s="41"/>
      <c r="F882" s="41"/>
      <c r="G882" s="42"/>
    </row>
    <row r="883" spans="2:7" ht="14.25" customHeight="1">
      <c r="B883" s="40"/>
      <c r="D883" s="41"/>
      <c r="F883" s="41"/>
      <c r="G883" s="42"/>
    </row>
    <row r="884" spans="2:7" ht="14.25" customHeight="1">
      <c r="B884" s="40"/>
      <c r="D884" s="41"/>
      <c r="F884" s="41"/>
      <c r="G884" s="42"/>
    </row>
    <row r="885" spans="2:7" ht="14.25" customHeight="1">
      <c r="B885" s="40"/>
      <c r="D885" s="41"/>
      <c r="F885" s="41"/>
      <c r="G885" s="42"/>
    </row>
    <row r="886" spans="2:7" ht="14.25" customHeight="1">
      <c r="B886" s="40"/>
      <c r="D886" s="41"/>
      <c r="F886" s="41"/>
      <c r="G886" s="42"/>
    </row>
    <row r="887" spans="2:7" ht="14.25" customHeight="1">
      <c r="B887" s="40"/>
      <c r="D887" s="41"/>
      <c r="F887" s="41"/>
      <c r="G887" s="42"/>
    </row>
    <row r="888" spans="2:7" ht="14.25" customHeight="1">
      <c r="B888" s="40"/>
      <c r="D888" s="41"/>
      <c r="F888" s="41"/>
      <c r="G888" s="42"/>
    </row>
    <row r="889" spans="2:7" ht="14.25" customHeight="1">
      <c r="B889" s="40"/>
      <c r="D889" s="41"/>
      <c r="F889" s="41"/>
      <c r="G889" s="42"/>
    </row>
    <row r="890" spans="2:7" ht="14.25" customHeight="1">
      <c r="B890" s="40"/>
      <c r="D890" s="41"/>
      <c r="F890" s="41"/>
      <c r="G890" s="42"/>
    </row>
    <row r="891" spans="2:7" ht="14.25" customHeight="1">
      <c r="B891" s="40"/>
      <c r="D891" s="41"/>
      <c r="F891" s="41"/>
      <c r="G891" s="42"/>
    </row>
    <row r="892" spans="2:7" ht="14.25" customHeight="1">
      <c r="B892" s="40"/>
      <c r="D892" s="41"/>
      <c r="F892" s="41"/>
      <c r="G892" s="42"/>
    </row>
    <row r="893" spans="2:7" ht="14.25" customHeight="1">
      <c r="B893" s="40"/>
      <c r="D893" s="41"/>
      <c r="F893" s="41"/>
      <c r="G893" s="42"/>
    </row>
    <row r="894" spans="2:7" ht="14.25" customHeight="1">
      <c r="B894" s="40"/>
      <c r="D894" s="41"/>
      <c r="F894" s="41"/>
      <c r="G894" s="42"/>
    </row>
    <row r="895" spans="2:7" ht="14.25" customHeight="1">
      <c r="B895" s="40"/>
      <c r="D895" s="41"/>
      <c r="F895" s="41"/>
      <c r="G895" s="42"/>
    </row>
    <row r="896" spans="2:7" ht="14.25" customHeight="1">
      <c r="B896" s="40"/>
      <c r="D896" s="41"/>
      <c r="F896" s="41"/>
      <c r="G896" s="42"/>
    </row>
    <row r="897" spans="2:7" ht="14.25" customHeight="1">
      <c r="B897" s="40"/>
      <c r="D897" s="41"/>
      <c r="F897" s="41"/>
      <c r="G897" s="42"/>
    </row>
    <row r="898" spans="2:7" ht="14.25" customHeight="1">
      <c r="B898" s="40"/>
      <c r="D898" s="41"/>
      <c r="F898" s="41"/>
      <c r="G898" s="42"/>
    </row>
    <row r="899" spans="2:7" ht="14.25" customHeight="1">
      <c r="B899" s="40"/>
      <c r="D899" s="41"/>
      <c r="F899" s="41"/>
      <c r="G899" s="42"/>
    </row>
    <row r="900" spans="2:7" ht="14.25" customHeight="1">
      <c r="B900" s="40"/>
      <c r="D900" s="41"/>
      <c r="F900" s="41"/>
      <c r="G900" s="42"/>
    </row>
    <row r="901" spans="2:7" ht="14.25" customHeight="1">
      <c r="B901" s="40"/>
      <c r="D901" s="41"/>
      <c r="F901" s="41"/>
      <c r="G901" s="42"/>
    </row>
    <row r="902" spans="2:7" ht="14.25" customHeight="1">
      <c r="B902" s="40"/>
      <c r="D902" s="41"/>
      <c r="F902" s="41"/>
      <c r="G902" s="42"/>
    </row>
    <row r="903" spans="2:7" ht="14.25" customHeight="1">
      <c r="B903" s="40"/>
      <c r="D903" s="41"/>
      <c r="F903" s="41"/>
      <c r="G903" s="42"/>
    </row>
    <row r="904" spans="2:7" ht="14.25" customHeight="1">
      <c r="B904" s="40"/>
      <c r="D904" s="41"/>
      <c r="F904" s="41"/>
      <c r="G904" s="42"/>
    </row>
    <row r="905" spans="2:7" ht="14.25" customHeight="1">
      <c r="B905" s="40"/>
      <c r="D905" s="41"/>
      <c r="F905" s="41"/>
      <c r="G905" s="42"/>
    </row>
    <row r="906" spans="2:7" ht="14.25" customHeight="1">
      <c r="B906" s="40"/>
      <c r="D906" s="41"/>
      <c r="F906" s="41"/>
      <c r="G906" s="42"/>
    </row>
    <row r="907" spans="2:7" ht="14.25" customHeight="1">
      <c r="B907" s="40"/>
      <c r="D907" s="41"/>
      <c r="F907" s="41"/>
      <c r="G907" s="42"/>
    </row>
    <row r="908" spans="2:7" ht="14.25" customHeight="1">
      <c r="B908" s="40"/>
      <c r="D908" s="41"/>
      <c r="F908" s="41"/>
      <c r="G908" s="42"/>
    </row>
    <row r="909" spans="2:7" ht="14.25" customHeight="1">
      <c r="B909" s="40"/>
      <c r="D909" s="41"/>
      <c r="F909" s="41"/>
      <c r="G909" s="42"/>
    </row>
    <row r="910" spans="2:7" ht="14.25" customHeight="1">
      <c r="B910" s="40"/>
      <c r="D910" s="41"/>
      <c r="F910" s="41"/>
      <c r="G910" s="42"/>
    </row>
    <row r="911" spans="2:7" ht="14.25" customHeight="1">
      <c r="B911" s="40"/>
      <c r="D911" s="41"/>
      <c r="F911" s="41"/>
      <c r="G911" s="42"/>
    </row>
    <row r="912" spans="2:7" ht="14.25" customHeight="1">
      <c r="B912" s="40"/>
      <c r="D912" s="41"/>
      <c r="F912" s="41"/>
      <c r="G912" s="42"/>
    </row>
    <row r="913" spans="2:7" ht="14.25" customHeight="1">
      <c r="B913" s="40"/>
      <c r="D913" s="41"/>
      <c r="F913" s="41"/>
      <c r="G913" s="42"/>
    </row>
    <row r="914" spans="2:7" ht="14.25" customHeight="1">
      <c r="B914" s="40"/>
      <c r="D914" s="41"/>
      <c r="F914" s="41"/>
      <c r="G914" s="42"/>
    </row>
    <row r="915" spans="2:7" ht="14.25" customHeight="1">
      <c r="B915" s="40"/>
      <c r="D915" s="41"/>
      <c r="F915" s="41"/>
      <c r="G915" s="42"/>
    </row>
    <row r="916" spans="2:7" ht="14.25" customHeight="1">
      <c r="B916" s="40"/>
      <c r="D916" s="41"/>
      <c r="F916" s="41"/>
      <c r="G916" s="42"/>
    </row>
    <row r="917" spans="2:7" ht="14.25" customHeight="1">
      <c r="B917" s="40"/>
      <c r="D917" s="41"/>
      <c r="F917" s="41"/>
      <c r="G917" s="42"/>
    </row>
    <row r="918" spans="2:7" ht="14.25" customHeight="1">
      <c r="B918" s="40"/>
      <c r="D918" s="41"/>
      <c r="F918" s="41"/>
      <c r="G918" s="42"/>
    </row>
    <row r="919" spans="2:7" ht="14.25" customHeight="1">
      <c r="B919" s="40"/>
      <c r="D919" s="41"/>
      <c r="F919" s="41"/>
      <c r="G919" s="42"/>
    </row>
    <row r="920" spans="2:7" ht="14.25" customHeight="1">
      <c r="B920" s="40"/>
      <c r="D920" s="41"/>
      <c r="F920" s="41"/>
      <c r="G920" s="42"/>
    </row>
    <row r="921" spans="2:7" ht="14.25" customHeight="1">
      <c r="B921" s="40"/>
      <c r="D921" s="41"/>
      <c r="F921" s="41"/>
      <c r="G921" s="42"/>
    </row>
    <row r="922" spans="2:7" ht="14.25" customHeight="1">
      <c r="B922" s="40"/>
      <c r="D922" s="41"/>
      <c r="F922" s="41"/>
      <c r="G922" s="42"/>
    </row>
    <row r="923" spans="2:7" ht="14.25" customHeight="1">
      <c r="B923" s="40"/>
      <c r="D923" s="41"/>
      <c r="F923" s="41"/>
      <c r="G923" s="42"/>
    </row>
    <row r="924" spans="2:7" ht="14.25" customHeight="1">
      <c r="B924" s="40"/>
      <c r="D924" s="41"/>
      <c r="F924" s="41"/>
      <c r="G924" s="42"/>
    </row>
    <row r="925" spans="2:7" ht="14.25" customHeight="1">
      <c r="B925" s="40"/>
      <c r="D925" s="41"/>
      <c r="F925" s="41"/>
      <c r="G925" s="42"/>
    </row>
    <row r="926" spans="2:7" ht="14.25" customHeight="1">
      <c r="B926" s="40"/>
      <c r="D926" s="41"/>
      <c r="F926" s="41"/>
      <c r="G926" s="42"/>
    </row>
    <row r="927" spans="2:7" ht="14.25" customHeight="1">
      <c r="B927" s="40"/>
      <c r="D927" s="41"/>
      <c r="F927" s="41"/>
      <c r="G927" s="42"/>
    </row>
    <row r="928" spans="2:7" ht="14.25" customHeight="1">
      <c r="B928" s="40"/>
      <c r="D928" s="41"/>
      <c r="F928" s="41"/>
      <c r="G928" s="42"/>
    </row>
    <row r="929" spans="2:7" ht="14.25" customHeight="1">
      <c r="B929" s="40"/>
      <c r="D929" s="41"/>
      <c r="F929" s="41"/>
      <c r="G929" s="42"/>
    </row>
    <row r="930" spans="2:7" ht="14.25" customHeight="1">
      <c r="B930" s="40"/>
      <c r="D930" s="41"/>
      <c r="F930" s="41"/>
      <c r="G930" s="42"/>
    </row>
    <row r="931" spans="2:7" ht="14.25" customHeight="1">
      <c r="B931" s="40"/>
      <c r="D931" s="41"/>
      <c r="F931" s="41"/>
      <c r="G931" s="42"/>
    </row>
    <row r="932" spans="2:7" ht="14.25" customHeight="1">
      <c r="B932" s="40"/>
      <c r="D932" s="41"/>
      <c r="F932" s="41"/>
      <c r="G932" s="42"/>
    </row>
    <row r="933" spans="2:7" ht="14.25" customHeight="1">
      <c r="B933" s="40"/>
      <c r="D933" s="41"/>
      <c r="F933" s="41"/>
      <c r="G933" s="42"/>
    </row>
    <row r="934" spans="2:7" ht="14.25" customHeight="1">
      <c r="B934" s="40"/>
      <c r="D934" s="41"/>
      <c r="F934" s="41"/>
      <c r="G934" s="42"/>
    </row>
    <row r="935" spans="2:7" ht="14.25" customHeight="1">
      <c r="B935" s="40"/>
      <c r="D935" s="41"/>
      <c r="F935" s="41"/>
      <c r="G935" s="42"/>
    </row>
    <row r="936" spans="2:7" ht="14.25" customHeight="1">
      <c r="B936" s="40"/>
      <c r="D936" s="41"/>
      <c r="F936" s="41"/>
      <c r="G936" s="42"/>
    </row>
    <row r="937" spans="2:7" ht="14.25" customHeight="1">
      <c r="B937" s="40"/>
      <c r="D937" s="41"/>
      <c r="F937" s="41"/>
      <c r="G937" s="42"/>
    </row>
    <row r="938" spans="2:7" ht="14.25" customHeight="1">
      <c r="B938" s="40"/>
      <c r="D938" s="41"/>
      <c r="F938" s="41"/>
      <c r="G938" s="42"/>
    </row>
    <row r="939" spans="2:7" ht="14.25" customHeight="1">
      <c r="B939" s="40"/>
      <c r="D939" s="41"/>
      <c r="F939" s="41"/>
      <c r="G939" s="42"/>
    </row>
    <row r="940" spans="2:7" ht="14.25" customHeight="1">
      <c r="B940" s="40"/>
      <c r="D940" s="41"/>
      <c r="F940" s="41"/>
      <c r="G940" s="42"/>
    </row>
    <row r="941" spans="2:7" ht="14.25" customHeight="1">
      <c r="B941" s="40"/>
      <c r="D941" s="41"/>
      <c r="F941" s="41"/>
      <c r="G941" s="42"/>
    </row>
    <row r="942" spans="2:7" ht="14.25" customHeight="1">
      <c r="B942" s="40"/>
      <c r="D942" s="41"/>
      <c r="F942" s="41"/>
      <c r="G942" s="42"/>
    </row>
    <row r="943" spans="2:7" ht="14.25" customHeight="1">
      <c r="B943" s="40"/>
      <c r="D943" s="41"/>
      <c r="F943" s="41"/>
      <c r="G943" s="42"/>
    </row>
    <row r="944" spans="2:7" ht="14.25" customHeight="1">
      <c r="B944" s="40"/>
      <c r="D944" s="41"/>
      <c r="F944" s="41"/>
      <c r="G944" s="42"/>
    </row>
    <row r="945" spans="2:7" ht="14.25" customHeight="1">
      <c r="B945" s="40"/>
      <c r="D945" s="41"/>
      <c r="F945" s="41"/>
      <c r="G945" s="42"/>
    </row>
    <row r="946" spans="2:7" ht="14.25" customHeight="1">
      <c r="B946" s="40"/>
      <c r="D946" s="41"/>
      <c r="F946" s="41"/>
      <c r="G946" s="42"/>
    </row>
    <row r="947" spans="2:7" ht="14.25" customHeight="1">
      <c r="B947" s="40"/>
      <c r="D947" s="41"/>
      <c r="F947" s="41"/>
      <c r="G947" s="42"/>
    </row>
    <row r="948" spans="2:7" ht="14.25" customHeight="1">
      <c r="B948" s="40"/>
      <c r="D948" s="41"/>
      <c r="F948" s="41"/>
      <c r="G948" s="42"/>
    </row>
    <row r="949" spans="2:7" ht="14.25" customHeight="1">
      <c r="B949" s="40"/>
      <c r="D949" s="41"/>
      <c r="F949" s="41"/>
      <c r="G949" s="42"/>
    </row>
    <row r="950" spans="2:7" ht="14.25" customHeight="1">
      <c r="B950" s="40"/>
      <c r="D950" s="41"/>
      <c r="F950" s="41"/>
      <c r="G950" s="42"/>
    </row>
    <row r="951" spans="2:7" ht="14.25" customHeight="1">
      <c r="B951" s="40"/>
      <c r="D951" s="41"/>
      <c r="F951" s="41"/>
      <c r="G951" s="42"/>
    </row>
    <row r="952" spans="2:7" ht="14.25" customHeight="1">
      <c r="B952" s="40"/>
      <c r="D952" s="41"/>
      <c r="F952" s="41"/>
      <c r="G952" s="42"/>
    </row>
    <row r="953" spans="2:7" ht="14.25" customHeight="1">
      <c r="B953" s="40"/>
      <c r="D953" s="41"/>
      <c r="F953" s="41"/>
      <c r="G953" s="42"/>
    </row>
    <row r="954" spans="2:7" ht="14.25" customHeight="1">
      <c r="B954" s="40"/>
      <c r="D954" s="41"/>
      <c r="F954" s="41"/>
      <c r="G954" s="42"/>
    </row>
    <row r="955" spans="2:7" ht="14.25" customHeight="1">
      <c r="B955" s="40"/>
      <c r="D955" s="41"/>
      <c r="F955" s="41"/>
      <c r="G955" s="42"/>
    </row>
    <row r="956" spans="2:7" ht="14.25" customHeight="1">
      <c r="B956" s="40"/>
      <c r="D956" s="41"/>
      <c r="F956" s="41"/>
      <c r="G956" s="42"/>
    </row>
    <row r="957" spans="2:7" ht="14.25" customHeight="1">
      <c r="B957" s="40"/>
      <c r="D957" s="41"/>
      <c r="F957" s="41"/>
      <c r="G957" s="42"/>
    </row>
    <row r="958" spans="2:7" ht="14.25" customHeight="1">
      <c r="B958" s="40"/>
      <c r="D958" s="41"/>
      <c r="F958" s="41"/>
      <c r="G958" s="42"/>
    </row>
    <row r="959" spans="2:7" ht="14.25" customHeight="1">
      <c r="B959" s="40"/>
      <c r="D959" s="41"/>
      <c r="F959" s="41"/>
      <c r="G959" s="42"/>
    </row>
    <row r="960" spans="2:7" ht="14.25" customHeight="1">
      <c r="B960" s="40"/>
      <c r="D960" s="41"/>
      <c r="F960" s="41"/>
      <c r="G960" s="42"/>
    </row>
    <row r="961" spans="2:7" ht="14.25" customHeight="1">
      <c r="B961" s="40"/>
      <c r="D961" s="41"/>
      <c r="F961" s="41"/>
      <c r="G961" s="42"/>
    </row>
    <row r="962" spans="2:7" ht="14.25" customHeight="1">
      <c r="B962" s="40"/>
      <c r="D962" s="41"/>
      <c r="F962" s="41"/>
      <c r="G962" s="42"/>
    </row>
    <row r="963" spans="2:7" ht="14.25" customHeight="1">
      <c r="B963" s="40"/>
      <c r="D963" s="41"/>
      <c r="F963" s="41"/>
      <c r="G963" s="42"/>
    </row>
    <row r="964" spans="2:7" ht="14.25" customHeight="1">
      <c r="B964" s="40"/>
      <c r="D964" s="41"/>
      <c r="F964" s="41"/>
      <c r="G964" s="42"/>
    </row>
    <row r="965" spans="2:7" ht="14.25" customHeight="1">
      <c r="B965" s="40"/>
      <c r="D965" s="41"/>
      <c r="F965" s="41"/>
      <c r="G965" s="42"/>
    </row>
    <row r="966" spans="2:7" ht="14.25" customHeight="1">
      <c r="B966" s="40"/>
      <c r="D966" s="41"/>
      <c r="F966" s="41"/>
      <c r="G966" s="42"/>
    </row>
    <row r="967" spans="2:7" ht="14.25" customHeight="1">
      <c r="B967" s="40"/>
      <c r="D967" s="41"/>
      <c r="F967" s="41"/>
      <c r="G967" s="42"/>
    </row>
    <row r="968" spans="2:7" ht="14.25" customHeight="1">
      <c r="B968" s="40"/>
      <c r="D968" s="41"/>
      <c r="F968" s="41"/>
      <c r="G968" s="42"/>
    </row>
    <row r="969" spans="2:7" ht="14.25" customHeight="1">
      <c r="B969" s="40"/>
      <c r="D969" s="41"/>
      <c r="F969" s="41"/>
      <c r="G969" s="42"/>
    </row>
    <row r="970" spans="2:7" ht="14.25" customHeight="1">
      <c r="B970" s="40"/>
      <c r="D970" s="41"/>
      <c r="F970" s="41"/>
      <c r="G970" s="42"/>
    </row>
    <row r="971" spans="2:7" ht="14.25" customHeight="1">
      <c r="B971" s="40"/>
      <c r="D971" s="41"/>
      <c r="F971" s="41"/>
      <c r="G971" s="42"/>
    </row>
    <row r="972" spans="2:7" ht="14.25" customHeight="1">
      <c r="B972" s="40"/>
      <c r="D972" s="41"/>
      <c r="F972" s="41"/>
      <c r="G972" s="42"/>
    </row>
    <row r="973" spans="2:7" ht="14.25" customHeight="1">
      <c r="B973" s="40"/>
      <c r="D973" s="41"/>
      <c r="F973" s="41"/>
      <c r="G973" s="42"/>
    </row>
    <row r="974" spans="2:7" ht="14.25" customHeight="1">
      <c r="B974" s="40"/>
      <c r="D974" s="41"/>
      <c r="F974" s="41"/>
      <c r="G974" s="42"/>
    </row>
    <row r="975" spans="2:7" ht="14.25" customHeight="1">
      <c r="B975" s="40"/>
      <c r="D975" s="41"/>
      <c r="F975" s="41"/>
      <c r="G975" s="42"/>
    </row>
    <row r="976" spans="2:7" ht="14.25" customHeight="1">
      <c r="B976" s="40"/>
      <c r="D976" s="41"/>
      <c r="F976" s="41"/>
      <c r="G976" s="42"/>
    </row>
    <row r="977" spans="2:7" ht="14.25" customHeight="1">
      <c r="B977" s="40"/>
      <c r="D977" s="41"/>
      <c r="F977" s="41"/>
      <c r="G977" s="42"/>
    </row>
    <row r="978" spans="2:7" ht="14.25" customHeight="1">
      <c r="B978" s="40"/>
      <c r="D978" s="41"/>
      <c r="F978" s="41"/>
      <c r="G978" s="42"/>
    </row>
    <row r="979" spans="2:7" ht="14.25" customHeight="1">
      <c r="B979" s="40"/>
      <c r="D979" s="41"/>
      <c r="F979" s="41"/>
      <c r="G979" s="42"/>
    </row>
    <row r="980" spans="2:7" ht="14.25" customHeight="1">
      <c r="B980" s="40"/>
      <c r="D980" s="41"/>
      <c r="F980" s="41"/>
      <c r="G980" s="42"/>
    </row>
    <row r="981" spans="2:7" ht="14.25" customHeight="1">
      <c r="B981" s="40"/>
      <c r="D981" s="41"/>
      <c r="F981" s="41"/>
      <c r="G981" s="42"/>
    </row>
    <row r="982" spans="2:7" ht="14.25" customHeight="1">
      <c r="B982" s="40"/>
      <c r="D982" s="41"/>
      <c r="F982" s="41"/>
      <c r="G982" s="42"/>
    </row>
    <row r="983" spans="2:7" ht="14.25" customHeight="1">
      <c r="B983" s="40"/>
      <c r="D983" s="41"/>
      <c r="F983" s="41"/>
      <c r="G983" s="42"/>
    </row>
    <row r="984" spans="2:7" ht="14.25" customHeight="1">
      <c r="B984" s="40"/>
      <c r="D984" s="41"/>
      <c r="F984" s="41"/>
      <c r="G984" s="42"/>
    </row>
    <row r="985" spans="2:7" ht="14.25" customHeight="1">
      <c r="B985" s="40"/>
      <c r="D985" s="41"/>
      <c r="F985" s="41"/>
      <c r="G985" s="42"/>
    </row>
    <row r="986" spans="2:7" ht="14.25" customHeight="1">
      <c r="B986" s="40"/>
      <c r="D986" s="41"/>
      <c r="F986" s="41"/>
      <c r="G986" s="42"/>
    </row>
    <row r="987" spans="2:7" ht="14.25" customHeight="1">
      <c r="B987" s="40"/>
      <c r="D987" s="41"/>
      <c r="F987" s="41"/>
      <c r="G987" s="42"/>
    </row>
    <row r="988" spans="2:7" ht="14.25" customHeight="1">
      <c r="B988" s="40"/>
      <c r="D988" s="41"/>
      <c r="F988" s="41"/>
      <c r="G988" s="42"/>
    </row>
    <row r="989" spans="2:7" ht="14.25" customHeight="1">
      <c r="B989" s="40"/>
      <c r="D989" s="41"/>
      <c r="F989" s="41"/>
      <c r="G989" s="42"/>
    </row>
    <row r="990" spans="2:7" ht="14.25" customHeight="1">
      <c r="B990" s="40"/>
      <c r="D990" s="41"/>
      <c r="F990" s="41"/>
      <c r="G990" s="42"/>
    </row>
    <row r="991" spans="2:7" ht="14.25" customHeight="1">
      <c r="B991" s="40"/>
      <c r="D991" s="41"/>
      <c r="F991" s="41"/>
      <c r="G991" s="42"/>
    </row>
    <row r="992" spans="2:7" ht="14.25" customHeight="1">
      <c r="B992" s="40"/>
      <c r="D992" s="41"/>
      <c r="F992" s="41"/>
      <c r="G992" s="42"/>
    </row>
    <row r="993" spans="2:7" ht="14.25" customHeight="1">
      <c r="B993" s="40"/>
      <c r="D993" s="41"/>
      <c r="F993" s="41"/>
      <c r="G993" s="42"/>
    </row>
    <row r="994" spans="2:7" ht="14.25" customHeight="1">
      <c r="B994" s="40"/>
      <c r="D994" s="41"/>
      <c r="F994" s="41"/>
      <c r="G994" s="42"/>
    </row>
    <row r="995" spans="2:7" ht="14.25" customHeight="1">
      <c r="B995" s="40"/>
      <c r="D995" s="41"/>
      <c r="F995" s="41"/>
      <c r="G995" s="42"/>
    </row>
    <row r="996" spans="2:7" ht="14.25" customHeight="1">
      <c r="B996" s="40"/>
      <c r="D996" s="41"/>
      <c r="F996" s="41"/>
      <c r="G996" s="42"/>
    </row>
    <row r="997" spans="2:7" ht="14.25" customHeight="1">
      <c r="B997" s="40"/>
      <c r="D997" s="41"/>
      <c r="F997" s="41"/>
      <c r="G997" s="42"/>
    </row>
    <row r="998" spans="2:7" ht="14.25" customHeight="1">
      <c r="B998" s="40"/>
      <c r="D998" s="41"/>
      <c r="F998" s="41"/>
      <c r="G998" s="42"/>
    </row>
    <row r="999" spans="2:7" ht="14.25" customHeight="1">
      <c r="B999" s="40"/>
      <c r="D999" s="41"/>
      <c r="F999" s="41"/>
      <c r="G999" s="42"/>
    </row>
    <row r="1000" spans="2:7" ht="14.25" customHeight="1">
      <c r="B1000" s="40"/>
      <c r="D1000" s="41"/>
      <c r="F1000" s="41"/>
      <c r="G1000" s="42"/>
    </row>
    <row r="1001" spans="2:7" ht="14.25" customHeight="1">
      <c r="B1001" s="40"/>
      <c r="D1001" s="41"/>
      <c r="F1001" s="41"/>
      <c r="G1001" s="42"/>
    </row>
    <row r="1002" spans="2:7" ht="14.25" customHeight="1">
      <c r="B1002" s="40"/>
      <c r="D1002" s="41"/>
      <c r="F1002" s="41"/>
      <c r="G1002" s="42"/>
    </row>
    <row r="1003" spans="2:7" ht="14.25" customHeight="1">
      <c r="B1003" s="40"/>
      <c r="D1003" s="41"/>
      <c r="F1003" s="41"/>
      <c r="G1003" s="42"/>
    </row>
  </sheetData>
  <mergeCells count="2">
    <mergeCell ref="A1:F1"/>
    <mergeCell ref="A2:F2"/>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5B5E4"/>
  </sheetPr>
  <dimension ref="B1:V1000"/>
  <sheetViews>
    <sheetView showGridLines="0" zoomScaleNormal="100" workbookViewId="0">
      <selection activeCell="I59" sqref="I59"/>
    </sheetView>
  </sheetViews>
  <sheetFormatPr defaultColWidth="12.625" defaultRowHeight="15" customHeight="1"/>
  <cols>
    <col min="1" max="1" width="8.625" style="233" customWidth="1"/>
    <col min="2" max="2" width="52.125" style="233" customWidth="1"/>
    <col min="3" max="3" width="20.125" style="233" customWidth="1"/>
    <col min="4" max="4" width="8.125" style="233" customWidth="1"/>
    <col min="5" max="5" width="53.125" style="233" customWidth="1"/>
    <col min="6" max="6" width="18.75" style="233" bestFit="1" customWidth="1"/>
    <col min="7" max="7" width="8.625" style="233" customWidth="1"/>
    <col min="8" max="8" width="7.75" style="233" customWidth="1"/>
    <col min="9" max="9" width="29.5" style="233" customWidth="1"/>
    <col min="10" max="10" width="18.875" style="233" customWidth="1"/>
    <col min="11" max="20" width="8.625" style="233" customWidth="1"/>
    <col min="21" max="21" width="5.375" style="233" customWidth="1"/>
    <col min="22" max="22" width="8.625" style="233" hidden="1" customWidth="1"/>
    <col min="23" max="23" width="29.25" style="233" customWidth="1"/>
    <col min="24" max="24" width="17.75" style="233" customWidth="1"/>
    <col min="25" max="25" width="22.625" style="233" customWidth="1"/>
    <col min="26" max="26" width="23" style="233" customWidth="1"/>
    <col min="27" max="27" width="27.375" style="233" customWidth="1"/>
    <col min="28" max="28" width="36.5" style="233" customWidth="1"/>
    <col min="29" max="16384" width="12.625" style="233"/>
  </cols>
  <sheetData>
    <row r="1" spans="2:7" ht="18.75" customHeight="1" thickBot="1">
      <c r="B1" s="580" t="s">
        <v>250</v>
      </c>
      <c r="C1" s="581"/>
      <c r="D1" s="581"/>
      <c r="E1" s="581"/>
      <c r="F1" s="581"/>
      <c r="G1" s="259"/>
    </row>
    <row r="2" spans="2:7" ht="18.75" customHeight="1" thickBot="1">
      <c r="B2" s="582" t="s">
        <v>0</v>
      </c>
      <c r="C2" s="583"/>
      <c r="D2" s="583"/>
      <c r="E2" s="583"/>
      <c r="F2" s="584"/>
    </row>
    <row r="3" spans="2:7" ht="18.75" customHeight="1" thickBot="1">
      <c r="B3" s="585" t="s">
        <v>130</v>
      </c>
      <c r="C3" s="583"/>
      <c r="D3" s="583"/>
      <c r="E3" s="583"/>
      <c r="F3" s="584"/>
    </row>
    <row r="4" spans="2:7" ht="18.75" customHeight="1">
      <c r="B4" s="5"/>
      <c r="C4" s="6"/>
      <c r="D4" s="7"/>
      <c r="E4" s="6"/>
      <c r="F4" s="8"/>
    </row>
    <row r="5" spans="2:7" ht="14.25" customHeight="1">
      <c r="B5" s="260" t="s">
        <v>6</v>
      </c>
      <c r="C5" s="261"/>
      <c r="D5" s="262"/>
      <c r="E5" s="261" t="s">
        <v>131</v>
      </c>
      <c r="F5" s="263"/>
    </row>
    <row r="6" spans="2:7" ht="14.25" customHeight="1">
      <c r="B6" s="264" t="s">
        <v>7</v>
      </c>
      <c r="C6" s="265"/>
      <c r="D6" s="266"/>
      <c r="E6" s="265" t="str">
        <f>'Balance Sheet'!A24</f>
        <v xml:space="preserve">Share capital    </v>
      </c>
      <c r="F6" s="267">
        <f>'Balance Sheet'!F24</f>
        <v>8442390580</v>
      </c>
    </row>
    <row r="7" spans="2:7" ht="14.25" customHeight="1">
      <c r="B7" s="264" t="str">
        <f>'Balance Sheet'!A6</f>
        <v>Property, plant and equipment - Carrying Value</v>
      </c>
      <c r="C7" s="268">
        <f>'Balance Sheet'!F6</f>
        <v>20873698301</v>
      </c>
      <c r="D7" s="266"/>
      <c r="E7" s="265" t="str">
        <f>'Balance Sheet'!A25</f>
        <v>Share premium</v>
      </c>
      <c r="F7" s="267">
        <f>'Balance Sheet'!F25</f>
        <v>2035465000</v>
      </c>
    </row>
    <row r="8" spans="2:7" ht="14.25" customHeight="1">
      <c r="B8" s="264" t="str">
        <f>'Balance Sheet'!A7</f>
        <v>Investment - long term</v>
      </c>
      <c r="C8" s="268">
        <f>'Balance Sheet'!F7</f>
        <v>2792000884</v>
      </c>
      <c r="D8" s="266"/>
      <c r="E8" s="265" t="str">
        <f>'Balance Sheet'!A26</f>
        <v>General Reserve</v>
      </c>
      <c r="F8" s="267">
        <f>'Balance Sheet'!F26</f>
        <v>105878200</v>
      </c>
    </row>
    <row r="9" spans="2:7" ht="14.25" customHeight="1">
      <c r="B9" s="264" t="str">
        <f>'Balance Sheet'!A8</f>
        <v>Investment - associates undertaking</v>
      </c>
      <c r="C9" s="268">
        <f>'Balance Sheet'!F8</f>
        <v>8077472192</v>
      </c>
      <c r="D9" s="266"/>
      <c r="E9" s="265" t="str">
        <f>'Balance Sheet'!A27</f>
        <v>Tax Exemption Reserve</v>
      </c>
      <c r="F9" s="267">
        <f>'Balance Sheet'!F27</f>
        <v>2211743936</v>
      </c>
    </row>
    <row r="10" spans="2:7" ht="14.25" customHeight="1">
      <c r="B10" s="264" t="str">
        <f>'Balance Sheet'!A9</f>
        <v>Investment in marketable securities (Fair Value)</v>
      </c>
      <c r="C10" s="268">
        <f>'Balance Sheet'!F9</f>
        <v>2691892867</v>
      </c>
      <c r="D10" s="266"/>
      <c r="E10" s="265" t="str">
        <f>'Balance Sheet'!A28</f>
        <v>Gain on marketable securities (Unrealized)</v>
      </c>
      <c r="F10" s="267">
        <f>'Balance Sheet'!F28</f>
        <v>-452626946</v>
      </c>
    </row>
    <row r="11" spans="2:7" ht="14.25" customHeight="1">
      <c r="B11" s="264" t="str">
        <f>'Balance Sheet'!A10</f>
        <v>Pre-operating expenses</v>
      </c>
      <c r="C11" s="268">
        <f>'Balance Sheet'!F10</f>
        <v>774363</v>
      </c>
      <c r="D11" s="266"/>
      <c r="E11" s="265" t="str">
        <f>'Balance Sheet'!A29</f>
        <v>Cumulative Translation Adujustment</v>
      </c>
      <c r="F11" s="267">
        <f>'Balance Sheet'!F29</f>
        <v>-18078434</v>
      </c>
    </row>
    <row r="12" spans="2:7" ht="14.25" customHeight="1">
      <c r="B12" s="269" t="s">
        <v>132</v>
      </c>
      <c r="C12" s="270">
        <f>SUM(C7:C11)</f>
        <v>34435838607</v>
      </c>
      <c r="D12" s="271"/>
      <c r="E12" s="265" t="str">
        <f>'Balance Sheet'!A30</f>
        <v>Retained earnings</v>
      </c>
      <c r="F12" s="267">
        <f>'Balance Sheet'!F30</f>
        <v>64981071577</v>
      </c>
    </row>
    <row r="13" spans="2:7" ht="14.25" customHeight="1">
      <c r="B13" s="264"/>
      <c r="C13" s="268"/>
      <c r="D13" s="266"/>
      <c r="E13" s="265" t="str">
        <f>'Balance Sheet'!A31</f>
        <v>Non-controlling interests</v>
      </c>
      <c r="F13" s="267">
        <f>'Balance Sheet'!F31</f>
        <v>0</v>
      </c>
    </row>
    <row r="14" spans="2:7" ht="14.25" customHeight="1">
      <c r="B14" s="264" t="s">
        <v>11</v>
      </c>
      <c r="C14" s="268"/>
      <c r="D14" s="266"/>
      <c r="E14" s="272" t="s">
        <v>147</v>
      </c>
      <c r="F14" s="273">
        <f>SUM(F6:F13)</f>
        <v>77305843913</v>
      </c>
    </row>
    <row r="15" spans="2:7" ht="14.25" customHeight="1">
      <c r="B15" s="264" t="str">
        <f>'Balance Sheet'!A14</f>
        <v>Inventories</v>
      </c>
      <c r="C15" s="268">
        <f>'Balance Sheet'!F14</f>
        <v>5687406329</v>
      </c>
      <c r="D15" s="266"/>
      <c r="E15" s="265"/>
      <c r="F15" s="267"/>
    </row>
    <row r="16" spans="2:7" ht="14.25" customHeight="1">
      <c r="B16" s="264" t="str">
        <f>'Balance Sheet'!A15</f>
        <v>Trade and other receivables</v>
      </c>
      <c r="C16" s="268">
        <f>'Balance Sheet'!F15</f>
        <v>1520300337</v>
      </c>
      <c r="D16" s="266"/>
      <c r="E16" s="265" t="s">
        <v>133</v>
      </c>
      <c r="F16" s="267"/>
    </row>
    <row r="17" spans="2:6" ht="14.25" customHeight="1">
      <c r="B17" s="264" t="str">
        <f>'Balance Sheet'!A16</f>
        <v>Advances, deposits and prepayments</v>
      </c>
      <c r="C17" s="268">
        <f>'Balance Sheet'!F16</f>
        <v>2727928252</v>
      </c>
      <c r="D17" s="266"/>
      <c r="E17" s="265" t="str">
        <f>'Balance Sheet'!A35</f>
        <v>Deferred tax liability</v>
      </c>
      <c r="F17" s="267">
        <f>'Balance Sheet'!F35</f>
        <v>1272750021</v>
      </c>
    </row>
    <row r="18" spans="2:6" ht="14.25" customHeight="1">
      <c r="B18" s="264" t="str">
        <f>'Balance Sheet'!A17</f>
        <v>Short Term Loan</v>
      </c>
      <c r="C18" s="268">
        <f>'Balance Sheet'!F17</f>
        <v>4884338757</v>
      </c>
      <c r="D18" s="266"/>
      <c r="E18" s="272" t="s">
        <v>135</v>
      </c>
      <c r="F18" s="273">
        <f>F17</f>
        <v>1272750021</v>
      </c>
    </row>
    <row r="19" spans="2:6" ht="14.25" customHeight="1">
      <c r="B19" s="264" t="str">
        <f>'Balance Sheet'!A18</f>
        <v>Cash and cash equivalents</v>
      </c>
      <c r="C19" s="268">
        <f>'Balance Sheet'!F18</f>
        <v>32564329438</v>
      </c>
      <c r="D19" s="266"/>
      <c r="E19" s="265"/>
      <c r="F19" s="267"/>
    </row>
    <row r="20" spans="2:6" ht="14.25" customHeight="1">
      <c r="B20" s="269" t="s">
        <v>134</v>
      </c>
      <c r="C20" s="270">
        <f>SUM(C15:C19)</f>
        <v>47384303113</v>
      </c>
      <c r="D20" s="271"/>
      <c r="E20" s="265" t="s">
        <v>136</v>
      </c>
      <c r="F20" s="267"/>
    </row>
    <row r="21" spans="2:6" ht="14.25" customHeight="1">
      <c r="B21" s="264"/>
      <c r="C21" s="265"/>
      <c r="D21" s="266"/>
      <c r="E21" s="265" t="str">
        <f>'Balance Sheet'!A39</f>
        <v>Short term loan</v>
      </c>
      <c r="F21" s="267">
        <f>'Balance Sheet'!F39</f>
        <v>0</v>
      </c>
    </row>
    <row r="22" spans="2:6" ht="14.25" customHeight="1">
      <c r="B22" s="264"/>
      <c r="C22" s="265"/>
      <c r="D22" s="266"/>
      <c r="E22" s="265" t="str">
        <f>'Balance Sheet'!A40</f>
        <v>Trade creditors</v>
      </c>
      <c r="F22" s="267">
        <f>'Balance Sheet'!F40</f>
        <v>553785496</v>
      </c>
    </row>
    <row r="23" spans="2:6" ht="14.25" customHeight="1">
      <c r="B23" s="264"/>
      <c r="C23" s="265"/>
      <c r="D23" s="266"/>
      <c r="E23" s="265" t="str">
        <f>'Balance Sheet'!A41</f>
        <v>Liabilities for expenses</v>
      </c>
      <c r="F23" s="267">
        <f>'Balance Sheet'!F41</f>
        <v>128998444</v>
      </c>
    </row>
    <row r="24" spans="2:6" ht="14.25" customHeight="1">
      <c r="B24" s="264"/>
      <c r="C24" s="265"/>
      <c r="D24" s="266"/>
      <c r="E24" s="265" t="str">
        <f>'Balance Sheet'!A42</f>
        <v>Liabilities for other finances</v>
      </c>
      <c r="F24" s="267">
        <f>'Balance Sheet'!F42</f>
        <v>2558763846</v>
      </c>
    </row>
    <row r="25" spans="2:6" ht="14.25" customHeight="1">
      <c r="B25" s="264"/>
      <c r="C25" s="265"/>
      <c r="D25" s="266"/>
      <c r="E25" s="272" t="s">
        <v>308</v>
      </c>
      <c r="F25" s="273">
        <f>SUM(F21:F24)</f>
        <v>3241547786</v>
      </c>
    </row>
    <row r="26" spans="2:6" ht="14.25" customHeight="1">
      <c r="B26" s="264"/>
      <c r="C26" s="265"/>
      <c r="D26" s="266"/>
      <c r="E26" s="265"/>
      <c r="F26" s="267"/>
    </row>
    <row r="27" spans="2:6" ht="14.25" customHeight="1">
      <c r="B27" s="264"/>
      <c r="C27" s="265"/>
      <c r="D27" s="266"/>
      <c r="E27" s="265"/>
      <c r="F27" s="267"/>
    </row>
    <row r="28" spans="2:6" ht="14.25" customHeight="1">
      <c r="B28" s="264"/>
      <c r="C28" s="265"/>
      <c r="D28" s="266"/>
      <c r="E28" s="274"/>
      <c r="F28" s="275"/>
    </row>
    <row r="29" spans="2:6" ht="14.25" customHeight="1">
      <c r="B29" s="264"/>
      <c r="C29" s="265"/>
      <c r="D29" s="266"/>
      <c r="E29" s="274"/>
      <c r="F29" s="275"/>
    </row>
    <row r="30" spans="2:6" ht="14.25" customHeight="1">
      <c r="B30" s="264"/>
      <c r="C30" s="265"/>
      <c r="D30" s="266"/>
      <c r="E30" s="274"/>
      <c r="F30" s="275"/>
    </row>
    <row r="31" spans="2:6" ht="14.25" customHeight="1">
      <c r="B31" s="264"/>
      <c r="C31" s="265"/>
      <c r="D31" s="266"/>
      <c r="E31" s="265"/>
      <c r="F31" s="267"/>
    </row>
    <row r="32" spans="2:6" ht="14.25" customHeight="1">
      <c r="B32" s="264"/>
      <c r="C32" s="265"/>
      <c r="D32" s="266"/>
      <c r="E32" s="265"/>
      <c r="F32" s="267"/>
    </row>
    <row r="33" spans="2:10" ht="14.25" customHeight="1">
      <c r="B33" s="264"/>
      <c r="C33" s="265"/>
      <c r="D33" s="266"/>
      <c r="E33" s="272" t="s">
        <v>137</v>
      </c>
      <c r="F33" s="273">
        <f>SUM(F18,F25)</f>
        <v>4514297807</v>
      </c>
    </row>
    <row r="34" spans="2:10" ht="14.25" customHeight="1">
      <c r="B34" s="264"/>
      <c r="C34" s="265"/>
      <c r="D34" s="266"/>
      <c r="E34" s="265"/>
      <c r="F34" s="267"/>
    </row>
    <row r="35" spans="2:10" ht="20.25" customHeight="1" thickBot="1">
      <c r="B35" s="276" t="s">
        <v>17</v>
      </c>
      <c r="C35" s="277">
        <f>SUM(C12,C20)</f>
        <v>81820141720</v>
      </c>
      <c r="D35" s="278"/>
      <c r="E35" s="279" t="s">
        <v>29</v>
      </c>
      <c r="F35" s="280">
        <f>SUM(F14,F33)</f>
        <v>81820141720</v>
      </c>
    </row>
    <row r="36" spans="2:10" ht="23.25">
      <c r="H36" s="577" t="s">
        <v>138</v>
      </c>
      <c r="I36" s="578"/>
      <c r="J36" s="579"/>
    </row>
    <row r="37" spans="2:10" ht="16.5" thickBot="1">
      <c r="H37" s="281" t="s">
        <v>140</v>
      </c>
      <c r="I37" s="9" t="s">
        <v>141</v>
      </c>
      <c r="J37" s="282">
        <f>C19</f>
        <v>32564329438</v>
      </c>
    </row>
    <row r="38" spans="2:10" ht="20.25">
      <c r="B38" s="283" t="s">
        <v>250</v>
      </c>
      <c r="C38" s="284"/>
      <c r="D38" s="284"/>
      <c r="E38" s="284"/>
      <c r="F38" s="285"/>
      <c r="H38" s="286" t="s">
        <v>143</v>
      </c>
      <c r="I38" s="287" t="s">
        <v>309</v>
      </c>
      <c r="J38" s="288">
        <f>SUM(J39:J40)</f>
        <v>1922848521</v>
      </c>
    </row>
    <row r="39" spans="2:10" ht="20.25">
      <c r="B39" s="289" t="s">
        <v>139</v>
      </c>
      <c r="C39" s="290"/>
      <c r="D39" s="290"/>
      <c r="E39" s="290"/>
      <c r="F39" s="291"/>
      <c r="H39" s="281"/>
      <c r="I39" s="9" t="s">
        <v>58</v>
      </c>
      <c r="J39" s="282">
        <f>F22</f>
        <v>553785496</v>
      </c>
    </row>
    <row r="40" spans="2:10" ht="21" thickBot="1">
      <c r="B40" s="289" t="s">
        <v>142</v>
      </c>
      <c r="C40" s="290"/>
      <c r="D40" s="290"/>
      <c r="E40" s="290"/>
      <c r="F40" s="291"/>
      <c r="H40" s="286"/>
      <c r="I40" s="287" t="s">
        <v>145</v>
      </c>
      <c r="J40" s="288">
        <f>368968264+18346013+3711211+978037537</f>
        <v>1369063025</v>
      </c>
    </row>
    <row r="41" spans="2:10" ht="15.75">
      <c r="B41" s="292" t="s">
        <v>6</v>
      </c>
      <c r="C41" s="293" t="s">
        <v>144</v>
      </c>
      <c r="D41" s="294"/>
      <c r="E41" s="293" t="s">
        <v>18</v>
      </c>
      <c r="F41" s="295" t="s">
        <v>144</v>
      </c>
      <c r="H41" s="281" t="s">
        <v>148</v>
      </c>
      <c r="I41" s="9" t="s">
        <v>146</v>
      </c>
      <c r="J41" s="282">
        <f>J42-J38</f>
        <v>8012786397</v>
      </c>
    </row>
    <row r="42" spans="2:10" ht="15.75">
      <c r="B42" s="264"/>
      <c r="C42" s="265"/>
      <c r="D42" s="266"/>
      <c r="E42" s="265"/>
      <c r="F42" s="296"/>
      <c r="H42" s="286"/>
      <c r="I42" s="287" t="s">
        <v>149</v>
      </c>
      <c r="J42" s="288">
        <f>C15+C16+C17</f>
        <v>9935634918</v>
      </c>
    </row>
    <row r="43" spans="2:10" ht="15.75">
      <c r="B43" s="297" t="s">
        <v>146</v>
      </c>
      <c r="C43" s="298">
        <f>J41</f>
        <v>8012786397</v>
      </c>
      <c r="D43" s="299"/>
      <c r="E43" s="300" t="s">
        <v>147</v>
      </c>
      <c r="F43" s="301">
        <f>F14</f>
        <v>77305843913</v>
      </c>
      <c r="H43" s="281" t="s">
        <v>152</v>
      </c>
      <c r="I43" s="9" t="s">
        <v>153</v>
      </c>
      <c r="J43" s="282">
        <f>F18+F21+F23+(F24-J40)</f>
        <v>2591449286</v>
      </c>
    </row>
    <row r="44" spans="2:10" ht="15.75">
      <c r="B44" s="302"/>
      <c r="C44" s="303"/>
      <c r="D44" s="304"/>
      <c r="E44" s="305"/>
      <c r="F44" s="306"/>
      <c r="H44" s="286" t="s">
        <v>154</v>
      </c>
      <c r="I44" s="287" t="s">
        <v>151</v>
      </c>
      <c r="J44" s="288">
        <f>J43-J37</f>
        <v>-29972880152</v>
      </c>
    </row>
    <row r="45" spans="2:10" ht="15.75">
      <c r="B45" s="297" t="s">
        <v>150</v>
      </c>
      <c r="C45" s="298">
        <f>C18</f>
        <v>4884338757</v>
      </c>
      <c r="D45" s="299"/>
      <c r="E45" s="300" t="s">
        <v>151</v>
      </c>
      <c r="F45" s="307">
        <f>J44</f>
        <v>-29972880152</v>
      </c>
    </row>
    <row r="46" spans="2:10" ht="15.75">
      <c r="B46" s="302"/>
      <c r="C46" s="303"/>
      <c r="D46" s="304"/>
      <c r="E46" s="305"/>
      <c r="F46" s="306"/>
    </row>
    <row r="47" spans="2:10" ht="15.75">
      <c r="B47" s="297" t="s">
        <v>49</v>
      </c>
      <c r="C47" s="298">
        <f>C12</f>
        <v>34435838607</v>
      </c>
      <c r="D47" s="299"/>
      <c r="E47" s="300"/>
      <c r="F47" s="301"/>
    </row>
    <row r="48" spans="2:10" ht="14.25" customHeight="1">
      <c r="B48" s="264"/>
      <c r="C48" s="265"/>
      <c r="D48" s="266"/>
      <c r="E48" s="265"/>
      <c r="F48" s="296"/>
    </row>
    <row r="49" spans="2:6" ht="22.5" customHeight="1" thickBot="1">
      <c r="B49" s="308" t="s">
        <v>155</v>
      </c>
      <c r="C49" s="309">
        <f>SUM(C43:C47)</f>
        <v>47332963761</v>
      </c>
      <c r="D49" s="310"/>
      <c r="E49" s="311" t="s">
        <v>156</v>
      </c>
      <c r="F49" s="312">
        <f>SUM(F43:F46)</f>
        <v>47332963761</v>
      </c>
    </row>
    <row r="50" spans="2:6" ht="14.25" customHeight="1"/>
    <row r="51" spans="2:6" ht="14.25" customHeight="1"/>
    <row r="52" spans="2:6" ht="14.25" customHeight="1"/>
    <row r="53" spans="2:6" ht="14.25" customHeight="1"/>
    <row r="54" spans="2:6" ht="14.25" customHeight="1"/>
    <row r="55" spans="2:6" ht="14.25" customHeight="1"/>
    <row r="56" spans="2:6" ht="14.25" customHeight="1" thickBot="1"/>
    <row r="57" spans="2:6">
      <c r="B57" s="313" t="s">
        <v>156</v>
      </c>
      <c r="C57" s="314">
        <f>C49</f>
        <v>47332963761</v>
      </c>
    </row>
    <row r="58" spans="2:6" ht="20.25" customHeight="1">
      <c r="B58" s="315" t="s">
        <v>157</v>
      </c>
      <c r="C58" s="316">
        <v>844239058</v>
      </c>
    </row>
    <row r="59" spans="2:6" ht="23.25" customHeight="1" thickBot="1">
      <c r="B59" s="317" t="s">
        <v>158</v>
      </c>
      <c r="C59" s="318">
        <f>C57/C58</f>
        <v>56.065830303008795</v>
      </c>
    </row>
    <row r="60" spans="2:6" ht="14.25" customHeight="1"/>
    <row r="61" spans="2:6" ht="14.25" customHeight="1"/>
    <row r="62" spans="2:6" ht="14.25" customHeight="1"/>
    <row r="63" spans="2:6" ht="14.25" customHeight="1"/>
    <row r="64" spans="2: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H36:J36"/>
    <mergeCell ref="B1:F1"/>
    <mergeCell ref="B2:F2"/>
    <mergeCell ref="B3:F3"/>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C6294"/>
  </sheetPr>
  <dimension ref="B1:F1000"/>
  <sheetViews>
    <sheetView showGridLines="0" zoomScale="102" zoomScaleNormal="102" workbookViewId="0">
      <selection activeCell="I3" sqref="I3"/>
    </sheetView>
  </sheetViews>
  <sheetFormatPr defaultColWidth="12.625" defaultRowHeight="15" customHeight="1"/>
  <cols>
    <col min="1" max="1" width="8.625" customWidth="1"/>
    <col min="2" max="2" width="42" bestFit="1" customWidth="1"/>
    <col min="3" max="3" width="21.5" customWidth="1"/>
    <col min="4" max="4" width="4.25" bestFit="1" customWidth="1"/>
    <col min="5" max="5" width="33.5" bestFit="1" customWidth="1"/>
    <col min="6" max="6" width="21.25" bestFit="1" customWidth="1"/>
    <col min="7" max="8" width="8.625" customWidth="1"/>
    <col min="9" max="9" width="14.25" customWidth="1"/>
    <col min="10" max="26" width="8.625" customWidth="1"/>
  </cols>
  <sheetData>
    <row r="1" spans="2:6" ht="14.25" customHeight="1"/>
    <row r="2" spans="2:6" ht="20.25">
      <c r="B2" s="586" t="s">
        <v>250</v>
      </c>
      <c r="C2" s="587"/>
      <c r="D2" s="587"/>
      <c r="E2" s="587"/>
      <c r="F2" s="588"/>
    </row>
    <row r="3" spans="2:6" ht="20.25">
      <c r="B3" s="589" t="s">
        <v>159</v>
      </c>
      <c r="C3" s="590"/>
      <c r="D3" s="590"/>
      <c r="E3" s="590"/>
      <c r="F3" s="591"/>
    </row>
    <row r="4" spans="2:6" ht="20.25">
      <c r="B4" s="589" t="s">
        <v>311</v>
      </c>
      <c r="C4" s="590"/>
      <c r="D4" s="590"/>
      <c r="E4" s="590"/>
      <c r="F4" s="591"/>
    </row>
    <row r="5" spans="2:6" ht="18">
      <c r="B5" s="12"/>
      <c r="C5" s="3"/>
      <c r="D5" s="3"/>
      <c r="E5" s="3"/>
      <c r="F5" s="4"/>
    </row>
    <row r="6" spans="2:6" ht="18">
      <c r="B6" s="13" t="s">
        <v>160</v>
      </c>
      <c r="C6" s="14">
        <f>EBV!C43</f>
        <v>8012786397</v>
      </c>
      <c r="D6" s="15"/>
      <c r="E6" s="15" t="s">
        <v>161</v>
      </c>
      <c r="F6" s="16">
        <f>EBV!J44</f>
        <v>-29972880152</v>
      </c>
    </row>
    <row r="7" spans="2:6" ht="18">
      <c r="B7" s="17"/>
      <c r="C7" s="18"/>
      <c r="D7" s="18"/>
      <c r="E7" s="18"/>
      <c r="F7" s="19"/>
    </row>
    <row r="8" spans="2:6" ht="18">
      <c r="B8" s="20" t="s">
        <v>162</v>
      </c>
      <c r="C8" s="14">
        <f>F10-C6</f>
        <v>145974024189.20001</v>
      </c>
      <c r="D8" s="15"/>
      <c r="E8" s="15" t="s">
        <v>163</v>
      </c>
      <c r="F8" s="16">
        <f>C14*C16</f>
        <v>183959690738.20001</v>
      </c>
    </row>
    <row r="9" spans="2:6" ht="18">
      <c r="B9" s="17"/>
      <c r="C9" s="18"/>
      <c r="D9" s="18"/>
      <c r="E9" s="18"/>
      <c r="F9" s="19"/>
    </row>
    <row r="10" spans="2:6" ht="18">
      <c r="B10" s="21" t="s">
        <v>164</v>
      </c>
      <c r="C10" s="22">
        <f>C6+C8</f>
        <v>153986810586.20001</v>
      </c>
      <c r="D10" s="23"/>
      <c r="E10" s="23" t="s">
        <v>164</v>
      </c>
      <c r="F10" s="24">
        <f>SUM(F6:F8)</f>
        <v>153986810586.20001</v>
      </c>
    </row>
    <row r="11" spans="2:6" ht="18">
      <c r="B11" s="25"/>
      <c r="C11" s="26"/>
      <c r="D11" s="26"/>
      <c r="E11" s="26"/>
      <c r="F11" s="27"/>
    </row>
    <row r="12" spans="2:6" ht="14.25" customHeight="1"/>
    <row r="13" spans="2:6" ht="14.25" customHeight="1"/>
    <row r="14" spans="2:6" ht="14.25" customHeight="1">
      <c r="B14" s="28" t="s">
        <v>310</v>
      </c>
      <c r="C14" s="29">
        <v>217.9</v>
      </c>
    </row>
    <row r="15" spans="2:6" ht="14.25" customHeight="1">
      <c r="B15" s="30" t="s">
        <v>164</v>
      </c>
      <c r="C15" s="31">
        <f>F10</f>
        <v>153986810586.20001</v>
      </c>
    </row>
    <row r="16" spans="2:6" ht="14.25" customHeight="1">
      <c r="B16" s="10" t="s">
        <v>157</v>
      </c>
      <c r="C16" s="11">
        <f>EBV!C58</f>
        <v>844239058</v>
      </c>
    </row>
    <row r="17" spans="2:6" ht="27.75">
      <c r="B17" s="174" t="s">
        <v>165</v>
      </c>
      <c r="C17" s="175">
        <f>C15/C16</f>
        <v>182.39716479239226</v>
      </c>
    </row>
    <row r="18" spans="2:6" ht="14.25" customHeight="1"/>
    <row r="19" spans="2:6" ht="14.25" customHeight="1"/>
    <row r="20" spans="2:6" ht="14.25" customHeight="1"/>
    <row r="21" spans="2:6" ht="34.5">
      <c r="B21" s="32" t="s">
        <v>158</v>
      </c>
      <c r="C21" s="33">
        <f>EBV!C59</f>
        <v>56.065830303008795</v>
      </c>
      <c r="D21" s="34" t="s">
        <v>166</v>
      </c>
      <c r="E21" s="34" t="s">
        <v>165</v>
      </c>
      <c r="F21" s="35">
        <f>C17</f>
        <v>182.39716479239226</v>
      </c>
    </row>
    <row r="22" spans="2:6" ht="14.25" customHeight="1"/>
    <row r="23" spans="2:6" ht="14.25" customHeight="1"/>
    <row r="24" spans="2:6" ht="14.25" customHeight="1"/>
    <row r="25" spans="2:6" ht="14.25" customHeight="1"/>
    <row r="26" spans="2:6" ht="14.25" customHeight="1"/>
    <row r="27" spans="2:6" ht="14.25" customHeight="1">
      <c r="F27" s="320"/>
    </row>
    <row r="28" spans="2:6" ht="14.25" customHeight="1">
      <c r="F28" s="319"/>
    </row>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F2"/>
    <mergeCell ref="B3:F3"/>
    <mergeCell ref="B4:F4"/>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16757"/>
  </sheetPr>
  <dimension ref="C1:I1004"/>
  <sheetViews>
    <sheetView showGridLines="0" zoomScale="115" zoomScaleNormal="115" workbookViewId="0">
      <selection activeCell="G42" sqref="G42"/>
    </sheetView>
  </sheetViews>
  <sheetFormatPr defaultColWidth="12.625" defaultRowHeight="15" customHeight="1"/>
  <cols>
    <col min="1" max="2" width="8.625" customWidth="1"/>
    <col min="3" max="3" width="37.625" bestFit="1" customWidth="1"/>
    <col min="4" max="4" width="18.75" customWidth="1"/>
    <col min="5" max="5" width="16.625" customWidth="1"/>
    <col min="6" max="6" width="17.25" customWidth="1"/>
    <col min="7" max="7" width="17.5" customWidth="1"/>
    <col min="8" max="8" width="18.125" customWidth="1"/>
    <col min="9" max="27" width="8.625" customWidth="1"/>
  </cols>
  <sheetData>
    <row r="1" spans="3:8" ht="14.25" customHeight="1"/>
    <row r="2" spans="3:8" ht="14.25" customHeight="1"/>
    <row r="3" spans="3:8" ht="14.25" customHeight="1" thickBot="1"/>
    <row r="4" spans="3:8" ht="14.25" customHeight="1">
      <c r="C4" s="597" t="s">
        <v>215</v>
      </c>
      <c r="D4" s="598"/>
      <c r="E4" s="598"/>
      <c r="F4" s="598"/>
      <c r="G4" s="598"/>
      <c r="H4" s="599"/>
    </row>
    <row r="5" spans="3:8" ht="14.25" customHeight="1">
      <c r="C5" s="600"/>
      <c r="D5" s="601"/>
      <c r="E5" s="601"/>
      <c r="F5" s="601"/>
      <c r="G5" s="601"/>
      <c r="H5" s="602"/>
    </row>
    <row r="6" spans="3:8" ht="14.25" customHeight="1">
      <c r="C6" s="87"/>
      <c r="D6" s="77">
        <v>2016</v>
      </c>
      <c r="E6" s="77">
        <v>2017</v>
      </c>
      <c r="F6" s="77">
        <v>2018</v>
      </c>
      <c r="G6" s="77">
        <v>2019</v>
      </c>
      <c r="H6" s="88">
        <v>2020</v>
      </c>
    </row>
    <row r="7" spans="3:8" ht="20.65" customHeight="1">
      <c r="C7" s="89" t="s">
        <v>167</v>
      </c>
      <c r="D7" s="78">
        <f>'Balance Sheet'!B45</f>
        <v>3746615793</v>
      </c>
      <c r="E7" s="78">
        <f>'Balance Sheet'!C45</f>
        <v>3490677898</v>
      </c>
      <c r="F7" s="78">
        <f>'Balance Sheet'!D45</f>
        <v>3431533644</v>
      </c>
      <c r="G7" s="78">
        <f>'Balance Sheet'!E45</f>
        <v>4265435402</v>
      </c>
      <c r="H7" s="321">
        <f>'Balance Sheet'!F45</f>
        <v>4514297807</v>
      </c>
    </row>
    <row r="8" spans="3:8" ht="20.65" customHeight="1">
      <c r="C8" s="90" t="s">
        <v>230</v>
      </c>
      <c r="D8" s="85">
        <f>'Balance Sheet'!B40+(364347268+51559622+7696415+888297299)</f>
        <v>2005883302</v>
      </c>
      <c r="E8" s="85">
        <f>'Balance Sheet'!C40+(493022685+60176480+7114330+241126028)</f>
        <v>1645376800</v>
      </c>
      <c r="F8" s="85">
        <f>'Balance Sheet'!D40+(446877055+56596629+3619330+215699760)</f>
        <v>1247468910</v>
      </c>
      <c r="G8" s="85">
        <f>'Balance Sheet'!E40+(641736368+8948030+2819514+557901454)</f>
        <v>1928393794</v>
      </c>
      <c r="H8" s="322">
        <f>EBV!J38</f>
        <v>1922848521</v>
      </c>
    </row>
    <row r="9" spans="3:8" ht="20.65" customHeight="1">
      <c r="C9" s="91" t="s">
        <v>168</v>
      </c>
      <c r="D9" s="86">
        <f>D7-D8</f>
        <v>1740732491</v>
      </c>
      <c r="E9" s="86">
        <f t="shared" ref="E9:H9" si="0">E7-E8</f>
        <v>1845301098</v>
      </c>
      <c r="F9" s="86">
        <f t="shared" si="0"/>
        <v>2184064734</v>
      </c>
      <c r="G9" s="86">
        <f t="shared" si="0"/>
        <v>2337041608</v>
      </c>
      <c r="H9" s="323">
        <f t="shared" si="0"/>
        <v>2591449286</v>
      </c>
    </row>
    <row r="10" spans="3:8" ht="20.65" customHeight="1">
      <c r="C10" s="94" t="s">
        <v>169</v>
      </c>
      <c r="D10" s="95">
        <f>'Balance Sheet'!B18</f>
        <v>8522555131</v>
      </c>
      <c r="E10" s="95">
        <f>'Balance Sheet'!C18</f>
        <v>15768683854</v>
      </c>
      <c r="F10" s="95">
        <f>'Balance Sheet'!D18</f>
        <v>16980412765</v>
      </c>
      <c r="G10" s="95">
        <f>'Balance Sheet'!E18</f>
        <v>27004038946</v>
      </c>
      <c r="H10" s="324">
        <f>'Balance Sheet'!F18</f>
        <v>32564329438</v>
      </c>
    </row>
    <row r="11" spans="3:8" ht="20.65" customHeight="1" thickBot="1">
      <c r="C11" s="92" t="s">
        <v>161</v>
      </c>
      <c r="D11" s="93">
        <f>D9-D10</f>
        <v>-6781822640</v>
      </c>
      <c r="E11" s="93">
        <f t="shared" ref="E11:H11" si="1">E9-E10</f>
        <v>-13923382756</v>
      </c>
      <c r="F11" s="93">
        <f t="shared" si="1"/>
        <v>-14796348031</v>
      </c>
      <c r="G11" s="93">
        <f t="shared" si="1"/>
        <v>-24666997338</v>
      </c>
      <c r="H11" s="325">
        <f t="shared" si="1"/>
        <v>-29972880152</v>
      </c>
    </row>
    <row r="12" spans="3:8" ht="14.25" customHeight="1"/>
    <row r="13" spans="3:8" ht="14.25" customHeight="1" thickBot="1">
      <c r="C13" s="75"/>
      <c r="D13" s="76"/>
      <c r="E13" s="76"/>
      <c r="F13" s="76"/>
      <c r="G13" s="76"/>
      <c r="H13" s="76"/>
    </row>
    <row r="14" spans="3:8" ht="22.9" customHeight="1">
      <c r="C14" s="96"/>
      <c r="D14" s="97"/>
      <c r="E14" s="98" t="s">
        <v>170</v>
      </c>
      <c r="F14" s="99"/>
      <c r="G14" s="99"/>
      <c r="H14" s="100"/>
    </row>
    <row r="15" spans="3:8" ht="14.25" customHeight="1">
      <c r="C15" s="101"/>
      <c r="D15" s="153">
        <v>2016</v>
      </c>
      <c r="E15" s="153">
        <v>2017</v>
      </c>
      <c r="F15" s="153">
        <v>2018</v>
      </c>
      <c r="G15" s="153">
        <v>2019</v>
      </c>
      <c r="H15" s="154">
        <v>2020</v>
      </c>
    </row>
    <row r="16" spans="3:8" ht="14.25" customHeight="1">
      <c r="C16" s="89" t="s">
        <v>161</v>
      </c>
      <c r="D16" s="155">
        <f>D11</f>
        <v>-6781822640</v>
      </c>
      <c r="E16" s="155">
        <f t="shared" ref="E16:H16" si="2">E11</f>
        <v>-13923382756</v>
      </c>
      <c r="F16" s="155">
        <f t="shared" si="2"/>
        <v>-14796348031</v>
      </c>
      <c r="G16" s="155">
        <f t="shared" si="2"/>
        <v>-24666997338</v>
      </c>
      <c r="H16" s="326">
        <f t="shared" si="2"/>
        <v>-29972880152</v>
      </c>
    </row>
    <row r="17" spans="3:8" ht="14.25" customHeight="1">
      <c r="C17" s="162" t="s">
        <v>171</v>
      </c>
      <c r="D17" s="156">
        <f>'Income Statement'!B13</f>
        <v>-5299871</v>
      </c>
      <c r="E17" s="156">
        <f>'Income Statement'!C13</f>
        <v>-154389</v>
      </c>
      <c r="F17" s="156">
        <f>'Income Statement'!D13</f>
        <v>-93599</v>
      </c>
      <c r="G17" s="156">
        <f>'Income Statement'!E13</f>
        <v>-95196</v>
      </c>
      <c r="H17" s="327">
        <f>'Income Statement'!F13</f>
        <v>-107090</v>
      </c>
    </row>
    <row r="18" spans="3:8" ht="14.25" customHeight="1">
      <c r="C18" s="163" t="s">
        <v>212</v>
      </c>
      <c r="D18" s="157"/>
      <c r="E18" s="158">
        <f>E17/AVERAGE(D16,E16)</f>
        <v>1.4913061430419436E-5</v>
      </c>
      <c r="F18" s="158">
        <f t="shared" ref="F18:H18" si="3">F17/AVERAGE(E16,F16)</f>
        <v>6.5180973104641801E-6</v>
      </c>
      <c r="G18" s="158">
        <f t="shared" si="3"/>
        <v>4.824527627339986E-6</v>
      </c>
      <c r="H18" s="328">
        <f t="shared" si="3"/>
        <v>3.9198477346366392E-6</v>
      </c>
    </row>
    <row r="19" spans="3:8" ht="14.25" customHeight="1">
      <c r="C19" s="164" t="s">
        <v>93</v>
      </c>
      <c r="D19" s="159"/>
      <c r="E19" s="160">
        <v>0.15</v>
      </c>
      <c r="F19" s="160">
        <v>0.2</v>
      </c>
      <c r="G19" s="160">
        <v>0.3</v>
      </c>
      <c r="H19" s="329">
        <v>0.35</v>
      </c>
    </row>
    <row r="20" spans="3:8" ht="24" customHeight="1" thickBot="1">
      <c r="C20" s="594" t="s">
        <v>172</v>
      </c>
      <c r="D20" s="595"/>
      <c r="E20" s="595"/>
      <c r="F20" s="592">
        <f>(E18*E19)+(F18*F19)+(G18*G19)+(H18*H19)</f>
        <v>6.3598836719805707E-6</v>
      </c>
      <c r="G20" s="592"/>
      <c r="H20" s="593"/>
    </row>
    <row r="21" spans="3:8" ht="14.25" customHeight="1" thickBot="1">
      <c r="C21" s="74"/>
      <c r="D21" s="74"/>
      <c r="E21" s="74"/>
      <c r="F21" s="74"/>
      <c r="G21" s="74"/>
      <c r="H21" s="74"/>
    </row>
    <row r="22" spans="3:8" ht="17.25" customHeight="1">
      <c r="C22" s="96"/>
      <c r="D22" s="97"/>
      <c r="E22" s="98" t="s">
        <v>173</v>
      </c>
      <c r="F22" s="97"/>
      <c r="G22" s="99"/>
      <c r="H22" s="100"/>
    </row>
    <row r="23" spans="3:8" ht="21" customHeight="1">
      <c r="C23" s="101"/>
      <c r="D23" s="79">
        <v>2016</v>
      </c>
      <c r="E23" s="79">
        <v>2017</v>
      </c>
      <c r="F23" s="79">
        <v>2018</v>
      </c>
      <c r="G23" s="79">
        <v>2019</v>
      </c>
      <c r="H23" s="102">
        <v>2020</v>
      </c>
    </row>
    <row r="24" spans="3:8" ht="13.9" customHeight="1">
      <c r="C24" s="89" t="s">
        <v>168</v>
      </c>
      <c r="D24" s="155">
        <f>D9</f>
        <v>1740732491</v>
      </c>
      <c r="E24" s="155">
        <f t="shared" ref="E24:H24" si="4">E9</f>
        <v>1845301098</v>
      </c>
      <c r="F24" s="155">
        <f t="shared" si="4"/>
        <v>2184064734</v>
      </c>
      <c r="G24" s="155">
        <f t="shared" si="4"/>
        <v>2337041608</v>
      </c>
      <c r="H24" s="326">
        <f t="shared" si="4"/>
        <v>2591449286</v>
      </c>
    </row>
    <row r="25" spans="3:8" ht="13.9" customHeight="1">
      <c r="C25" s="162" t="s">
        <v>171</v>
      </c>
      <c r="D25" s="155">
        <f>D17</f>
        <v>-5299871</v>
      </c>
      <c r="E25" s="155">
        <f t="shared" ref="E25:H25" si="5">E17</f>
        <v>-154389</v>
      </c>
      <c r="F25" s="155">
        <f t="shared" si="5"/>
        <v>-93599</v>
      </c>
      <c r="G25" s="155">
        <f t="shared" si="5"/>
        <v>-95196</v>
      </c>
      <c r="H25" s="326">
        <f t="shared" si="5"/>
        <v>-107090</v>
      </c>
    </row>
    <row r="26" spans="3:8" ht="13.9" customHeight="1">
      <c r="C26" s="163" t="s">
        <v>174</v>
      </c>
      <c r="D26" s="157"/>
      <c r="E26" s="161">
        <f>E25/AVERAGE(D24,E24)</f>
        <v>-8.6105718849695918E-5</v>
      </c>
      <c r="F26" s="161">
        <f t="shared" ref="F26:H26" si="6">F25/AVERAGE(E24,F24)</f>
        <v>-4.6458427406449501E-5</v>
      </c>
      <c r="G26" s="161">
        <f t="shared" si="6"/>
        <v>-4.2111816355944498E-5</v>
      </c>
      <c r="H26" s="330">
        <f t="shared" si="6"/>
        <v>-4.3457521705223219E-5</v>
      </c>
    </row>
    <row r="27" spans="3:8" ht="14.25" customHeight="1">
      <c r="C27" s="164" t="s">
        <v>93</v>
      </c>
      <c r="D27" s="159"/>
      <c r="E27" s="160">
        <v>0.15</v>
      </c>
      <c r="F27" s="160">
        <v>0.2</v>
      </c>
      <c r="G27" s="160">
        <v>0.3</v>
      </c>
      <c r="H27" s="329">
        <v>0.35</v>
      </c>
    </row>
    <row r="28" spans="3:8" ht="18.75" thickBot="1">
      <c r="C28" s="594" t="s">
        <v>175</v>
      </c>
      <c r="D28" s="595"/>
      <c r="E28" s="595"/>
      <c r="F28" s="592">
        <f>E26*E27+F26*F27+G26*G27+H26*H27</f>
        <v>-5.0051220812355758E-5</v>
      </c>
      <c r="G28" s="592"/>
      <c r="H28" s="596"/>
    </row>
    <row r="29" spans="3:8" ht="14.25" customHeight="1">
      <c r="C29" s="74"/>
      <c r="D29" s="74"/>
      <c r="E29" s="74"/>
      <c r="F29" s="74"/>
      <c r="G29" s="74"/>
      <c r="H29" s="74"/>
    </row>
    <row r="30" spans="3:8" ht="13.9" customHeight="1">
      <c r="C30" s="74"/>
      <c r="D30" s="74"/>
      <c r="E30" s="74"/>
      <c r="F30" s="74"/>
      <c r="G30" s="74"/>
      <c r="H30" s="74"/>
    </row>
    <row r="31" spans="3:8" ht="14.25" customHeight="1" thickBot="1">
      <c r="C31" s="103"/>
      <c r="D31" s="103"/>
      <c r="E31" s="103"/>
      <c r="F31" s="74"/>
      <c r="G31" s="74"/>
      <c r="H31" s="74"/>
    </row>
    <row r="32" spans="3:8" ht="24" customHeight="1" thickBot="1">
      <c r="C32" s="151" t="s">
        <v>176</v>
      </c>
      <c r="D32" s="152">
        <v>0.09</v>
      </c>
      <c r="E32" s="74"/>
      <c r="F32" s="74"/>
      <c r="G32" s="74"/>
    </row>
    <row r="33" spans="3:9" ht="13.9" customHeight="1">
      <c r="C33" s="103"/>
      <c r="D33" s="103"/>
      <c r="E33" s="103"/>
      <c r="F33" s="74"/>
      <c r="G33" s="74"/>
      <c r="H33" s="74"/>
    </row>
    <row r="34" spans="3:9" ht="14.25" customHeight="1">
      <c r="C34" s="74"/>
      <c r="D34" s="74"/>
      <c r="E34" s="74"/>
      <c r="F34" s="74"/>
      <c r="G34" s="74"/>
      <c r="H34" s="74"/>
      <c r="I34" s="36"/>
    </row>
    <row r="35" spans="3:9" ht="13.9" customHeight="1" thickBot="1">
      <c r="C35" s="74"/>
      <c r="D35" s="74"/>
      <c r="E35" s="74"/>
      <c r="F35" s="74"/>
      <c r="G35" s="74"/>
      <c r="H35" s="74"/>
    </row>
    <row r="36" spans="3:9" ht="18.600000000000001" customHeight="1">
      <c r="C36" s="106" t="s">
        <v>177</v>
      </c>
      <c r="D36" s="107">
        <f>D32+2%</f>
        <v>0.11</v>
      </c>
      <c r="E36" s="108">
        <v>1</v>
      </c>
      <c r="F36" s="74"/>
      <c r="G36" s="74"/>
      <c r="H36" s="74"/>
    </row>
    <row r="37" spans="3:9" ht="18.600000000000001" customHeight="1">
      <c r="C37" s="109" t="s">
        <v>231</v>
      </c>
      <c r="D37" s="104">
        <f>F20</f>
        <v>6.3598836719805707E-6</v>
      </c>
      <c r="E37" s="110">
        <v>0</v>
      </c>
      <c r="F37" s="74"/>
      <c r="G37" s="74"/>
      <c r="H37" s="74"/>
    </row>
    <row r="38" spans="3:9" ht="27.75" customHeight="1" thickBot="1">
      <c r="C38" s="111" t="s">
        <v>178</v>
      </c>
      <c r="D38" s="112"/>
      <c r="E38" s="113">
        <f>(D37*E37+D36*E36)</f>
        <v>0.11</v>
      </c>
      <c r="F38" s="74"/>
      <c r="G38" s="74"/>
      <c r="H38" s="74"/>
    </row>
    <row r="39" spans="3:9" ht="14.25" customHeight="1">
      <c r="C39" s="105"/>
      <c r="D39" s="105"/>
      <c r="E39" s="105"/>
      <c r="F39" s="74"/>
      <c r="G39" s="74"/>
      <c r="H39" s="74"/>
    </row>
    <row r="40" spans="3:9" ht="14.25" customHeight="1">
      <c r="C40" s="74"/>
      <c r="D40" s="74"/>
      <c r="E40" s="74"/>
      <c r="F40" s="74"/>
      <c r="G40" s="74"/>
      <c r="H40" s="74"/>
    </row>
    <row r="41" spans="3:9" ht="14.25" customHeight="1">
      <c r="C41" s="74"/>
      <c r="D41" s="74"/>
      <c r="E41" s="74"/>
      <c r="F41" s="74"/>
      <c r="G41" s="74"/>
      <c r="H41" s="74"/>
    </row>
    <row r="42" spans="3:9" ht="21" customHeight="1">
      <c r="C42" s="69"/>
      <c r="D42" s="69"/>
      <c r="E42" s="69"/>
      <c r="F42" s="74"/>
      <c r="G42" s="74"/>
      <c r="H42" s="74"/>
    </row>
    <row r="43" spans="3:9" ht="14.25" customHeight="1">
      <c r="F43" s="74"/>
      <c r="G43" s="74"/>
      <c r="H43" s="74"/>
    </row>
    <row r="44" spans="3:9" ht="14.25" customHeight="1">
      <c r="F44" s="69"/>
      <c r="G44" s="69"/>
      <c r="H44" s="69"/>
    </row>
    <row r="45" spans="3:9" ht="14.25" customHeight="1"/>
    <row r="46" spans="3:9" ht="14.25" customHeight="1"/>
    <row r="47" spans="3:9" ht="14.25" customHeight="1"/>
    <row r="48" spans="3: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5">
    <mergeCell ref="F20:H20"/>
    <mergeCell ref="C20:E20"/>
    <mergeCell ref="C28:E28"/>
    <mergeCell ref="F28:H28"/>
    <mergeCell ref="C4:H5"/>
  </mergeCells>
  <conditionalFormatting sqref="E18:H18 E26:H26">
    <cfRule type="notContainsBlanks" dxfId="1" priority="1">
      <formula>LEN(TRIM(E18))&gt;0</formula>
    </cfRule>
  </conditionalFormatting>
  <pageMargins left="0.7" right="0.7" top="0.75" bottom="0.75" header="0" footer="0"/>
  <pageSetup orientation="landscape" r:id="rId1"/>
  <ignoredErrors>
    <ignoredError sqref="D10" formula="1"/>
  </ignoredError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16757"/>
  </sheetPr>
  <dimension ref="C1:Q1006"/>
  <sheetViews>
    <sheetView showGridLines="0" tabSelected="1" topLeftCell="A16" zoomScaleNormal="100" zoomScalePageLayoutView="102" workbookViewId="0">
      <selection activeCell="D171" sqref="D171"/>
    </sheetView>
  </sheetViews>
  <sheetFormatPr defaultColWidth="12.625" defaultRowHeight="15" customHeight="1"/>
  <cols>
    <col min="1" max="1" width="8.625" style="336" customWidth="1"/>
    <col min="2" max="2" width="16.125" style="336" customWidth="1"/>
    <col min="3" max="3" width="40.25" style="336" bestFit="1" customWidth="1"/>
    <col min="4" max="4" width="28" style="336" bestFit="1" customWidth="1"/>
    <col min="5" max="5" width="34.625" style="336" bestFit="1" customWidth="1"/>
    <col min="6" max="6" width="15" style="336" customWidth="1"/>
    <col min="7" max="7" width="25.75" style="336" bestFit="1" customWidth="1"/>
    <col min="8" max="8" width="22.125" style="336" customWidth="1"/>
    <col min="9" max="9" width="15.5" style="336" customWidth="1"/>
    <col min="10" max="10" width="17.75" style="336" customWidth="1"/>
    <col min="11" max="11" width="21.25" style="336" customWidth="1"/>
    <col min="12" max="12" width="18.625" style="336" customWidth="1"/>
    <col min="13" max="26" width="8.625" style="336" customWidth="1"/>
    <col min="27" max="16384" width="12.625" style="336"/>
  </cols>
  <sheetData>
    <row r="1" spans="3:8" ht="14.25" customHeight="1"/>
    <row r="2" spans="3:8" ht="14.25" customHeight="1"/>
    <row r="3" spans="3:8" ht="14.25" customHeight="1"/>
    <row r="4" spans="3:8" ht="14.25" customHeight="1" thickBot="1"/>
    <row r="5" spans="3:8" ht="14.25" customHeight="1" thickBot="1">
      <c r="C5" s="337"/>
      <c r="D5" s="338">
        <v>2016</v>
      </c>
      <c r="E5" s="338">
        <v>2017</v>
      </c>
      <c r="F5" s="338">
        <v>2018</v>
      </c>
      <c r="G5" s="338">
        <v>2019</v>
      </c>
      <c r="H5" s="339">
        <v>2020</v>
      </c>
    </row>
    <row r="6" spans="3:8" ht="14.25" customHeight="1">
      <c r="C6" s="340" t="s">
        <v>207</v>
      </c>
      <c r="D6" s="341">
        <f>D12*D7</f>
        <v>2494346184</v>
      </c>
      <c r="E6" s="341">
        <f t="shared" ref="E6:H6" si="0">E12*E7</f>
        <v>2400808200</v>
      </c>
      <c r="F6" s="341">
        <f t="shared" si="0"/>
        <v>2654607923.9999995</v>
      </c>
      <c r="G6" s="341">
        <f t="shared" si="0"/>
        <v>3313835557.2000003</v>
      </c>
      <c r="H6" s="341">
        <f t="shared" si="0"/>
        <v>3967923572.5999994</v>
      </c>
    </row>
    <row r="7" spans="3:8" ht="18" customHeight="1">
      <c r="C7" s="342" t="s">
        <v>211</v>
      </c>
      <c r="D7" s="343">
        <v>623586546</v>
      </c>
      <c r="E7" s="343">
        <v>685945200</v>
      </c>
      <c r="F7" s="343">
        <v>737391090</v>
      </c>
      <c r="G7" s="343">
        <v>789008466</v>
      </c>
      <c r="H7" s="344">
        <f>EBV!C58</f>
        <v>844239058</v>
      </c>
    </row>
    <row r="8" spans="3:8" ht="19.5" customHeight="1">
      <c r="C8" s="345" t="s">
        <v>206</v>
      </c>
      <c r="D8" s="346">
        <f>-'Cashflow Statement'!B37</f>
        <v>1662897456</v>
      </c>
      <c r="E8" s="346">
        <f>-'Cashflow Statement'!C37</f>
        <v>2494346184</v>
      </c>
      <c r="F8" s="346">
        <f>-'Cashflow Statement'!D37</f>
        <v>2400808200</v>
      </c>
      <c r="G8" s="346">
        <f>-'Cashflow Statement'!E37</f>
        <v>2654607924</v>
      </c>
      <c r="H8" s="347">
        <f>-'Cashflow Statement'!F37</f>
        <v>3313835557</v>
      </c>
    </row>
    <row r="9" spans="3:8" ht="15" customHeight="1">
      <c r="C9" s="348" t="s">
        <v>208</v>
      </c>
      <c r="D9" s="349">
        <v>0.4</v>
      </c>
      <c r="E9" s="349">
        <v>0.35</v>
      </c>
      <c r="F9" s="349">
        <v>0.36</v>
      </c>
      <c r="G9" s="349">
        <v>0.42</v>
      </c>
      <c r="H9" s="350">
        <v>0.47</v>
      </c>
    </row>
    <row r="10" spans="3:8" ht="19.5" customHeight="1">
      <c r="C10" s="351" t="s">
        <v>209</v>
      </c>
      <c r="D10" s="352">
        <v>0.1</v>
      </c>
      <c r="E10" s="353">
        <v>7.4999999999999997E-2</v>
      </c>
      <c r="F10" s="352">
        <v>7.0000000000000007E-2</v>
      </c>
      <c r="G10" s="352">
        <v>7.0000000000000007E-2</v>
      </c>
      <c r="H10" s="354">
        <v>0.05</v>
      </c>
    </row>
    <row r="11" spans="3:8" ht="18" customHeight="1">
      <c r="C11" s="355" t="s">
        <v>210</v>
      </c>
      <c r="D11" s="356">
        <f>SUM(D9:D10)</f>
        <v>0.5</v>
      </c>
      <c r="E11" s="356">
        <f t="shared" ref="E11:H11" si="1">SUM(E9:E10)</f>
        <v>0.42499999999999999</v>
      </c>
      <c r="F11" s="356">
        <f t="shared" si="1"/>
        <v>0.43</v>
      </c>
      <c r="G11" s="356">
        <f t="shared" si="1"/>
        <v>0.49</v>
      </c>
      <c r="H11" s="356">
        <f t="shared" si="1"/>
        <v>0.52</v>
      </c>
    </row>
    <row r="12" spans="3:8" ht="21.75" customHeight="1">
      <c r="C12" s="357" t="s">
        <v>219</v>
      </c>
      <c r="D12" s="358">
        <f>10*D9</f>
        <v>4</v>
      </c>
      <c r="E12" s="358">
        <f t="shared" ref="E12:H12" si="2">10*E9</f>
        <v>3.5</v>
      </c>
      <c r="F12" s="358">
        <f t="shared" si="2"/>
        <v>3.5999999999999996</v>
      </c>
      <c r="G12" s="358">
        <f t="shared" si="2"/>
        <v>4.2</v>
      </c>
      <c r="H12" s="359">
        <f t="shared" si="2"/>
        <v>4.6999999999999993</v>
      </c>
    </row>
    <row r="13" spans="3:8" ht="18">
      <c r="C13" s="357" t="s">
        <v>221</v>
      </c>
      <c r="D13" s="358">
        <f>10*D10</f>
        <v>1</v>
      </c>
      <c r="E13" s="358">
        <f t="shared" ref="E13:H13" si="3">10*E10</f>
        <v>0.75</v>
      </c>
      <c r="F13" s="358">
        <f t="shared" si="3"/>
        <v>0.70000000000000007</v>
      </c>
      <c r="G13" s="358">
        <f t="shared" si="3"/>
        <v>0.70000000000000007</v>
      </c>
      <c r="H13" s="359">
        <f t="shared" si="3"/>
        <v>0.5</v>
      </c>
    </row>
    <row r="14" spans="3:8" ht="18">
      <c r="C14" s="357" t="s">
        <v>222</v>
      </c>
      <c r="D14" s="358">
        <f>D12+D13</f>
        <v>5</v>
      </c>
      <c r="E14" s="358">
        <f>E12+E13</f>
        <v>4.25</v>
      </c>
      <c r="F14" s="358">
        <f>F12+F13</f>
        <v>4.3</v>
      </c>
      <c r="G14" s="358">
        <f>G12+G13</f>
        <v>4.9000000000000004</v>
      </c>
      <c r="H14" s="359">
        <f>H12+H13</f>
        <v>5.1999999999999993</v>
      </c>
    </row>
    <row r="15" spans="3:8" ht="18.75" thickBot="1">
      <c r="C15" s="360" t="s">
        <v>47</v>
      </c>
      <c r="D15" s="361"/>
      <c r="E15" s="362">
        <f>(E14/D14)-1</f>
        <v>-0.15000000000000002</v>
      </c>
      <c r="F15" s="362">
        <f>(F14/E14)-1</f>
        <v>1.1764705882352899E-2</v>
      </c>
      <c r="G15" s="362">
        <f>(G14/F14)-1</f>
        <v>0.13953488372093026</v>
      </c>
      <c r="H15" s="363">
        <f>(H14/G14)-1</f>
        <v>6.1224489795918213E-2</v>
      </c>
    </row>
    <row r="16" spans="3:8" ht="14.25" customHeight="1"/>
    <row r="17" spans="3:17" ht="20.25" customHeight="1" thickBot="1">
      <c r="E17" s="364"/>
      <c r="F17" s="364"/>
      <c r="G17" s="364"/>
    </row>
    <row r="18" spans="3:17" ht="20.65" customHeight="1" thickBot="1">
      <c r="C18" s="365" t="s">
        <v>223</v>
      </c>
      <c r="D18" s="366">
        <f>(0.3*H15)+(0.4*G15)+(0.2*F15)+(0.1*E15)</f>
        <v>6.1534241603618159E-2</v>
      </c>
      <c r="E18" s="364"/>
      <c r="F18" s="367"/>
      <c r="G18" s="368"/>
    </row>
    <row r="19" spans="3:17" ht="14.25" customHeight="1">
      <c r="E19" s="364"/>
      <c r="F19" s="364"/>
      <c r="G19" s="364"/>
      <c r="L19" s="369"/>
      <c r="M19" s="369"/>
      <c r="N19" s="369"/>
      <c r="O19" s="369"/>
      <c r="P19" s="369"/>
      <c r="Q19" s="369"/>
    </row>
    <row r="20" spans="3:17" ht="14.25" customHeight="1">
      <c r="E20" s="364"/>
      <c r="F20" s="364"/>
      <c r="G20" s="364"/>
      <c r="L20" s="369"/>
      <c r="M20" s="369"/>
      <c r="N20" s="369"/>
      <c r="O20" s="369"/>
      <c r="P20" s="369"/>
      <c r="Q20" s="369"/>
    </row>
    <row r="21" spans="3:17" ht="14.25" customHeight="1">
      <c r="N21" s="369"/>
      <c r="O21" s="369"/>
      <c r="P21" s="369"/>
      <c r="Q21" s="369"/>
    </row>
    <row r="22" spans="3:17" ht="14.25" customHeight="1">
      <c r="C22" s="369"/>
      <c r="D22" s="369"/>
      <c r="E22" s="369"/>
      <c r="F22" s="369"/>
      <c r="G22" s="369"/>
      <c r="H22" s="369"/>
      <c r="N22" s="369"/>
      <c r="O22" s="369"/>
      <c r="P22" s="369"/>
      <c r="Q22" s="369"/>
    </row>
    <row r="23" spans="3:17" ht="15.75" thickBot="1">
      <c r="E23" s="370"/>
      <c r="F23" s="369"/>
      <c r="G23" s="369"/>
      <c r="I23" s="371"/>
      <c r="N23" s="369"/>
      <c r="O23" s="369"/>
      <c r="P23" s="369"/>
      <c r="Q23" s="369"/>
    </row>
    <row r="24" spans="3:17" ht="30.75" thickBot="1">
      <c r="E24" s="603" t="s">
        <v>229</v>
      </c>
      <c r="F24" s="604"/>
      <c r="G24" s="605"/>
      <c r="N24" s="369"/>
      <c r="O24" s="369"/>
      <c r="P24" s="369"/>
      <c r="Q24" s="369"/>
    </row>
    <row r="25" spans="3:17" ht="24.75" customHeight="1" thickBot="1">
      <c r="E25" s="369"/>
      <c r="F25" s="369"/>
      <c r="G25" s="369"/>
      <c r="K25" s="372"/>
      <c r="N25" s="369"/>
      <c r="O25" s="369"/>
      <c r="P25" s="369"/>
      <c r="Q25" s="369"/>
    </row>
    <row r="26" spans="3:17" ht="18.75" customHeight="1" thickBot="1">
      <c r="C26" s="373"/>
      <c r="D26" s="606" t="s">
        <v>224</v>
      </c>
      <c r="E26" s="607"/>
      <c r="F26" s="369"/>
      <c r="G26" s="606" t="s">
        <v>225</v>
      </c>
      <c r="H26" s="607"/>
      <c r="L26" s="369"/>
      <c r="M26" s="369"/>
      <c r="N26" s="369"/>
      <c r="O26" s="369"/>
      <c r="P26" s="369"/>
      <c r="Q26" s="369"/>
    </row>
    <row r="27" spans="3:17" ht="20.25" customHeight="1">
      <c r="D27" s="331" t="s">
        <v>312</v>
      </c>
      <c r="E27" s="384">
        <v>217.9</v>
      </c>
      <c r="G27" s="331" t="str">
        <f>D27</f>
        <v>Share Price (06/07/21)</v>
      </c>
      <c r="H27" s="374">
        <f>E27</f>
        <v>217.9</v>
      </c>
    </row>
    <row r="28" spans="3:17" ht="18">
      <c r="D28" s="332" t="s">
        <v>219</v>
      </c>
      <c r="E28" s="333">
        <f>H12</f>
        <v>4.6999999999999993</v>
      </c>
      <c r="G28" s="332" t="s">
        <v>218</v>
      </c>
      <c r="H28" s="375">
        <f>H27*H7</f>
        <v>183959690738.20001</v>
      </c>
    </row>
    <row r="29" spans="3:17" ht="21" thickBot="1">
      <c r="D29" s="334" t="s">
        <v>227</v>
      </c>
      <c r="E29" s="335">
        <f>((E28*(1+D18))/E27)+D18</f>
        <v>8.4431033414251497E-2</v>
      </c>
      <c r="G29" s="334" t="s">
        <v>190</v>
      </c>
      <c r="H29" s="335">
        <f>((H8*(1+D18))/H28)+D18</f>
        <v>8.0656636845113427E-2</v>
      </c>
    </row>
    <row r="30" spans="3:17" ht="14.25" customHeight="1">
      <c r="C30" s="369"/>
      <c r="D30" s="369"/>
      <c r="E30" s="369"/>
      <c r="F30" s="369"/>
      <c r="G30" s="376"/>
      <c r="H30" s="377"/>
    </row>
    <row r="31" spans="3:17" ht="14.25" customHeight="1">
      <c r="C31" s="369"/>
      <c r="D31" s="369"/>
      <c r="E31" s="369"/>
      <c r="F31" s="369"/>
    </row>
    <row r="32" spans="3:17" ht="14.25" customHeight="1" thickBot="1">
      <c r="H32" s="369"/>
    </row>
    <row r="33" spans="3:8" ht="14.25" customHeight="1">
      <c r="C33" s="369"/>
      <c r="D33" s="369"/>
      <c r="E33" s="378" t="s">
        <v>224</v>
      </c>
      <c r="F33" s="385">
        <f>E29</f>
        <v>8.4431033414251497E-2</v>
      </c>
      <c r="G33" s="379">
        <v>0.25</v>
      </c>
      <c r="H33" s="369"/>
    </row>
    <row r="34" spans="3:8">
      <c r="E34" s="380" t="s">
        <v>228</v>
      </c>
      <c r="F34" s="386">
        <f>H29</f>
        <v>8.0656636845113427E-2</v>
      </c>
      <c r="G34" s="381">
        <v>0.75</v>
      </c>
      <c r="H34" s="369"/>
    </row>
    <row r="35" spans="3:8" ht="24" thickBot="1">
      <c r="E35" s="608" t="s">
        <v>193</v>
      </c>
      <c r="F35" s="609"/>
      <c r="G35" s="382">
        <f>(F34*G34+F33*G33)</f>
        <v>8.1600235987397948E-2</v>
      </c>
      <c r="H35" s="369"/>
    </row>
    <row r="36" spans="3:8" ht="14.25" customHeight="1">
      <c r="H36" s="369"/>
    </row>
    <row r="37" spans="3:8" ht="14.25" customHeight="1">
      <c r="H37" s="369"/>
    </row>
    <row r="38" spans="3:8" ht="14.25" customHeight="1"/>
    <row r="39" spans="3:8" ht="14.25" customHeight="1"/>
    <row r="40" spans="3:8" ht="14.25" customHeight="1"/>
    <row r="41" spans="3:8" ht="14.25" customHeight="1"/>
    <row r="42" spans="3:8" ht="14.25" customHeight="1"/>
    <row r="43" spans="3:8" ht="14.25" customHeight="1"/>
    <row r="44" spans="3:8" ht="14.25" customHeight="1"/>
    <row r="45" spans="3:8" ht="14.25" customHeight="1"/>
    <row r="46" spans="3:8" ht="14.25" customHeight="1"/>
    <row r="47" spans="3:8" ht="14.25" customHeight="1"/>
    <row r="48" spans="3:8" ht="14.25" customHeight="1"/>
    <row r="49" spans="3:3" ht="14.25" customHeight="1"/>
    <row r="50" spans="3:3" ht="14.25" customHeight="1"/>
    <row r="51" spans="3:3" ht="14.25" customHeight="1"/>
    <row r="52" spans="3:3" ht="14.25" customHeight="1"/>
    <row r="53" spans="3:3" ht="14.25" customHeight="1">
      <c r="C53" s="383"/>
    </row>
    <row r="54" spans="3:3" ht="14.25" customHeight="1">
      <c r="C54" s="383"/>
    </row>
    <row r="55" spans="3:3" ht="14.25" customHeight="1"/>
    <row r="56" spans="3:3" ht="14.25" customHeight="1"/>
    <row r="57" spans="3:3" ht="14.25" customHeight="1"/>
    <row r="58" spans="3:3" ht="14.25" customHeight="1"/>
    <row r="59" spans="3:3" ht="14.25" customHeight="1"/>
    <row r="60" spans="3:3" ht="14.25" customHeight="1"/>
    <row r="61" spans="3:3" ht="14.25" customHeight="1"/>
    <row r="62" spans="3:3" ht="14.25" customHeight="1"/>
    <row r="63" spans="3:3" ht="14.25" customHeight="1"/>
    <row r="64" spans="3: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4">
    <mergeCell ref="E24:G24"/>
    <mergeCell ref="D26:E26"/>
    <mergeCell ref="G26:H26"/>
    <mergeCell ref="E35:F35"/>
  </mergeCells>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16757"/>
  </sheetPr>
  <dimension ref="A1:T965"/>
  <sheetViews>
    <sheetView showGridLines="0" topLeftCell="A2" zoomScaleNormal="100" workbookViewId="0">
      <selection activeCell="A14" sqref="A14"/>
    </sheetView>
  </sheetViews>
  <sheetFormatPr defaultColWidth="12.625" defaultRowHeight="15" customHeight="1"/>
  <cols>
    <col min="1" max="1" width="10.5" style="433" customWidth="1"/>
    <col min="2" max="2" width="32" style="433" bestFit="1" customWidth="1"/>
    <col min="3" max="3" width="9.75" style="433" customWidth="1"/>
    <col min="4" max="4" width="35.25" style="433" bestFit="1" customWidth="1"/>
    <col min="5" max="5" width="26.5" style="433" bestFit="1" customWidth="1"/>
    <col min="6" max="6" width="23.625" style="433" bestFit="1" customWidth="1"/>
    <col min="7" max="7" width="8.75" style="433" bestFit="1" customWidth="1"/>
    <col min="8" max="8" width="23.625" style="433" bestFit="1" customWidth="1"/>
    <col min="9" max="9" width="32" style="433" bestFit="1" customWidth="1"/>
    <col min="10" max="10" width="7.75" style="433" bestFit="1" customWidth="1"/>
    <col min="11" max="11" width="12.625" style="433" customWidth="1"/>
    <col min="12" max="12" width="11.75" style="433" bestFit="1" customWidth="1"/>
    <col min="13" max="13" width="8.625" style="433" customWidth="1"/>
    <col min="14" max="14" width="25.125" style="433" customWidth="1"/>
    <col min="15" max="31" width="8.625" style="433" customWidth="1"/>
    <col min="32" max="16384" width="12.625" style="433"/>
  </cols>
  <sheetData>
    <row r="1" spans="1:20" ht="14.25" customHeight="1">
      <c r="A1" s="449"/>
    </row>
    <row r="2" spans="1:20" ht="14.25" customHeight="1" thickBot="1">
      <c r="A2" s="449"/>
    </row>
    <row r="3" spans="1:20" ht="18.600000000000001" customHeight="1" thickTop="1">
      <c r="A3" s="449"/>
      <c r="I3" s="610" t="s">
        <v>189</v>
      </c>
      <c r="J3" s="611"/>
      <c r="K3" s="611"/>
      <c r="L3" s="611"/>
      <c r="M3" s="612"/>
    </row>
    <row r="4" spans="1:20" ht="18" customHeight="1">
      <c r="A4" s="450"/>
      <c r="D4" s="435"/>
      <c r="E4" s="435"/>
      <c r="F4" s="435"/>
      <c r="I4" s="398"/>
      <c r="J4" s="399">
        <v>2017</v>
      </c>
      <c r="K4" s="399">
        <v>2018</v>
      </c>
      <c r="L4" s="399">
        <v>2019</v>
      </c>
      <c r="M4" s="400">
        <v>2020</v>
      </c>
    </row>
    <row r="5" spans="1:20" ht="18.600000000000001" customHeight="1" thickBot="1">
      <c r="A5" s="449"/>
      <c r="D5" s="435"/>
      <c r="E5" s="435"/>
      <c r="F5" s="435"/>
      <c r="I5" s="401" t="s">
        <v>182</v>
      </c>
      <c r="J5" s="402">
        <f>AVERAGE(L86:L97)</f>
        <v>1.7923519540570559E-2</v>
      </c>
      <c r="K5" s="402">
        <f>AVERAGE(L74:L85)</f>
        <v>-1.2330677244523027E-2</v>
      </c>
      <c r="L5" s="402">
        <f>AVERAGE(L62:L73)</f>
        <v>-1.5847820476964189E-2</v>
      </c>
      <c r="M5" s="403">
        <f>AVERAGE(L50:L61)</f>
        <v>1.6101504652470205E-2</v>
      </c>
    </row>
    <row r="6" spans="1:20" ht="18.600000000000001" customHeight="1" thickTop="1">
      <c r="A6" s="449"/>
      <c r="B6" s="617" t="s">
        <v>192</v>
      </c>
      <c r="C6" s="618"/>
      <c r="D6" s="435"/>
      <c r="E6" s="617" t="s">
        <v>179</v>
      </c>
      <c r="F6" s="618"/>
      <c r="I6" s="404" t="s">
        <v>184</v>
      </c>
      <c r="J6" s="405">
        <f t="shared" ref="J6:M6" si="0">J5*12</f>
        <v>0.21508223448684671</v>
      </c>
      <c r="K6" s="405">
        <f t="shared" si="0"/>
        <v>-0.14796812693427633</v>
      </c>
      <c r="L6" s="405">
        <f t="shared" si="0"/>
        <v>-0.19017384572357027</v>
      </c>
      <c r="M6" s="406">
        <f t="shared" si="0"/>
        <v>0.19321805582964247</v>
      </c>
    </row>
    <row r="7" spans="1:20" ht="18.600000000000001" customHeight="1">
      <c r="A7" s="451"/>
      <c r="B7" s="452" t="s">
        <v>181</v>
      </c>
      <c r="C7" s="453">
        <v>1.0699999999999999E-2</v>
      </c>
      <c r="D7" s="435"/>
      <c r="E7" s="454" t="s">
        <v>181</v>
      </c>
      <c r="F7" s="455">
        <f>C7*(1-F10)</f>
        <v>8.1017549302280223E-3</v>
      </c>
      <c r="I7" s="407" t="s">
        <v>186</v>
      </c>
      <c r="J7" s="408">
        <v>0.35</v>
      </c>
      <c r="K7" s="408">
        <v>0.1</v>
      </c>
      <c r="L7" s="408">
        <v>0.1</v>
      </c>
      <c r="M7" s="409">
        <v>0.45</v>
      </c>
    </row>
    <row r="8" spans="1:20" ht="18.600000000000001" customHeight="1" thickBot="1">
      <c r="A8" s="451"/>
      <c r="B8" s="456" t="s">
        <v>183</v>
      </c>
      <c r="C8" s="457">
        <f>J15</f>
        <v>0.88</v>
      </c>
      <c r="D8" s="435"/>
      <c r="E8" s="456" t="s">
        <v>183</v>
      </c>
      <c r="F8" s="457">
        <f>J15</f>
        <v>0.88</v>
      </c>
      <c r="I8" s="613" t="s">
        <v>188</v>
      </c>
      <c r="J8" s="614"/>
      <c r="K8" s="614"/>
      <c r="L8" s="615">
        <f>(J7*J6)+(K7*K6)+(L7*L6)+(M7*M6)</f>
        <v>0.12841270992795079</v>
      </c>
      <c r="M8" s="616"/>
    </row>
    <row r="9" spans="1:20" ht="18.600000000000001" customHeight="1" thickTop="1">
      <c r="A9" s="451"/>
      <c r="B9" s="458" t="s">
        <v>185</v>
      </c>
      <c r="C9" s="459">
        <f>L8</f>
        <v>0.12841270992795079</v>
      </c>
      <c r="D9" s="460"/>
      <c r="E9" s="461" t="s">
        <v>185</v>
      </c>
      <c r="F9" s="462">
        <f>L8</f>
        <v>0.12841270992795079</v>
      </c>
    </row>
    <row r="10" spans="1:20" ht="18.600000000000001" customHeight="1" thickBot="1">
      <c r="A10" s="451"/>
      <c r="B10" s="463" t="s">
        <v>216</v>
      </c>
      <c r="C10" s="464">
        <f>C9-C7</f>
        <v>0.11771270992795078</v>
      </c>
      <c r="D10" s="460"/>
      <c r="E10" s="456" t="s">
        <v>187</v>
      </c>
      <c r="F10" s="465">
        <f>WACC!D17</f>
        <v>0.24282664203476423</v>
      </c>
      <c r="I10" s="438"/>
      <c r="J10" s="438"/>
      <c r="N10" s="466"/>
      <c r="O10" s="466"/>
      <c r="P10" s="466"/>
      <c r="Q10" s="466"/>
      <c r="R10" s="466"/>
      <c r="S10" s="466"/>
      <c r="T10" s="466"/>
    </row>
    <row r="11" spans="1:20" ht="21" thickBot="1">
      <c r="A11" s="449"/>
      <c r="B11" s="467" t="s">
        <v>190</v>
      </c>
      <c r="C11" s="468">
        <f>C7+(C8*C10)</f>
        <v>0.11428718473659669</v>
      </c>
      <c r="D11" s="435"/>
      <c r="E11" s="469" t="s">
        <v>235</v>
      </c>
      <c r="F11" s="470">
        <f>F9-F7</f>
        <v>0.12031095499772276</v>
      </c>
      <c r="I11" s="471" t="s">
        <v>234</v>
      </c>
      <c r="J11" s="472">
        <f>SLOPE(D50:D97,L50:L97)</f>
        <v>0.93446957730552704</v>
      </c>
      <c r="N11" s="466"/>
      <c r="O11" s="466"/>
      <c r="P11" s="466"/>
      <c r="Q11" s="466"/>
      <c r="R11" s="466"/>
    </row>
    <row r="12" spans="1:20" ht="21.75" thickTop="1" thickBot="1">
      <c r="A12" s="449"/>
      <c r="D12" s="435"/>
      <c r="E12" s="467" t="s">
        <v>190</v>
      </c>
      <c r="F12" s="468">
        <f>F7+(F8*F11)</f>
        <v>0.11397539532822405</v>
      </c>
      <c r="I12" s="473" t="s">
        <v>233</v>
      </c>
      <c r="J12" s="474">
        <f>SLOPE(D50:D97,H50:H97)</f>
        <v>0.91458560305533354</v>
      </c>
      <c r="N12" s="466"/>
      <c r="O12" s="466"/>
      <c r="P12" s="466"/>
      <c r="Q12" s="466"/>
      <c r="R12" s="466"/>
    </row>
    <row r="13" spans="1:20" ht="18.600000000000001" customHeight="1" thickTop="1">
      <c r="A13" s="449"/>
      <c r="D13" s="435"/>
      <c r="E13" s="435"/>
      <c r="F13" s="435"/>
      <c r="G13" s="435"/>
      <c r="H13" s="435"/>
      <c r="I13" s="475" t="s">
        <v>232</v>
      </c>
      <c r="J13" s="476">
        <v>0.8</v>
      </c>
      <c r="N13" s="466"/>
      <c r="O13" s="466"/>
      <c r="P13" s="466"/>
      <c r="Q13" s="466"/>
      <c r="R13" s="466"/>
    </row>
    <row r="14" spans="1:20" ht="18.600000000000001" customHeight="1" thickBot="1">
      <c r="A14" s="449"/>
      <c r="D14" s="435"/>
      <c r="E14" s="435"/>
      <c r="F14" s="435"/>
      <c r="G14" s="435"/>
      <c r="H14" s="435"/>
      <c r="I14" s="477" t="s">
        <v>191</v>
      </c>
      <c r="J14" s="478">
        <v>0.88</v>
      </c>
      <c r="N14" s="466"/>
      <c r="O14" s="466"/>
      <c r="P14" s="466"/>
      <c r="Q14" s="466"/>
      <c r="R14" s="466"/>
    </row>
    <row r="15" spans="1:20" ht="27.75" thickTop="1" thickBot="1">
      <c r="A15" s="449"/>
      <c r="C15" s="622" t="s">
        <v>193</v>
      </c>
      <c r="D15" s="623"/>
      <c r="E15" s="479">
        <f>F12</f>
        <v>0.11397539532822405</v>
      </c>
      <c r="G15" s="435"/>
      <c r="H15" s="435"/>
      <c r="I15" s="480" t="s">
        <v>217</v>
      </c>
      <c r="J15" s="481">
        <v>0.88</v>
      </c>
      <c r="K15" s="435"/>
    </row>
    <row r="16" spans="1:20" ht="18.600000000000001" customHeight="1" thickTop="1">
      <c r="A16" s="449"/>
      <c r="D16" s="435"/>
      <c r="E16" s="482"/>
      <c r="F16" s="435"/>
      <c r="G16" s="435"/>
      <c r="H16" s="435"/>
      <c r="I16" s="438"/>
    </row>
    <row r="17" spans="1:15" ht="18.600000000000001" customHeight="1">
      <c r="A17" s="449"/>
      <c r="D17" s="435"/>
      <c r="E17" s="482"/>
      <c r="F17" s="435"/>
      <c r="G17" s="435"/>
      <c r="H17" s="435"/>
      <c r="I17" s="438"/>
    </row>
    <row r="18" spans="1:15" ht="18.600000000000001" customHeight="1">
      <c r="A18" s="449"/>
      <c r="F18" s="435"/>
      <c r="G18" s="435"/>
      <c r="H18" s="435"/>
    </row>
    <row r="19" spans="1:15" ht="18.600000000000001" customHeight="1">
      <c r="A19" s="449"/>
      <c r="F19" s="435"/>
      <c r="G19" s="435"/>
      <c r="H19" s="435"/>
      <c r="I19" s="435"/>
      <c r="J19" s="435"/>
    </row>
    <row r="20" spans="1:15" ht="18.600000000000001" customHeight="1">
      <c r="A20" s="449"/>
      <c r="D20" s="435"/>
      <c r="E20" s="435"/>
      <c r="F20" s="435"/>
      <c r="G20" s="435"/>
      <c r="H20" s="435"/>
    </row>
    <row r="21" spans="1:15" ht="18.600000000000001" customHeight="1">
      <c r="A21" s="449"/>
      <c r="D21" s="435"/>
      <c r="E21" s="435"/>
      <c r="F21" s="435"/>
      <c r="G21" s="435"/>
      <c r="H21" s="435"/>
    </row>
    <row r="22" spans="1:15" ht="13.15" customHeight="1">
      <c r="A22" s="449"/>
      <c r="D22" s="435"/>
      <c r="E22" s="435"/>
      <c r="F22" s="435"/>
      <c r="G22" s="435"/>
      <c r="H22" s="435"/>
      <c r="I22" s="435"/>
      <c r="J22" s="435"/>
      <c r="K22" s="435"/>
      <c r="L22" s="435"/>
      <c r="M22" s="435"/>
      <c r="N22" s="435"/>
      <c r="O22" s="435"/>
    </row>
    <row r="23" spans="1:15">
      <c r="D23" s="435"/>
      <c r="E23" s="435"/>
      <c r="I23" s="435"/>
      <c r="J23" s="435"/>
      <c r="K23" s="435"/>
      <c r="L23" s="435"/>
      <c r="M23" s="435"/>
      <c r="N23" s="435"/>
    </row>
    <row r="24" spans="1:15" ht="23.25">
      <c r="A24" s="483"/>
      <c r="D24" s="435"/>
      <c r="E24" s="435"/>
      <c r="F24" s="435"/>
      <c r="G24" s="435"/>
      <c r="H24" s="435"/>
      <c r="I24" s="435"/>
      <c r="J24" s="435"/>
      <c r="K24" s="435"/>
      <c r="L24" s="435"/>
      <c r="M24" s="435"/>
      <c r="N24" s="435"/>
      <c r="O24" s="435"/>
    </row>
    <row r="25" spans="1:15" ht="18.600000000000001" customHeight="1">
      <c r="A25" s="449"/>
    </row>
    <row r="26" spans="1:15" ht="14.25" customHeight="1">
      <c r="A26" s="449"/>
    </row>
    <row r="27" spans="1:15" ht="14.25" customHeight="1">
      <c r="A27" s="449"/>
    </row>
    <row r="28" spans="1:15" ht="14.25" customHeight="1">
      <c r="A28" s="449"/>
    </row>
    <row r="29" spans="1:15" ht="14.25" customHeight="1">
      <c r="A29" s="449"/>
    </row>
    <row r="30" spans="1:15" ht="14.25" customHeight="1"/>
    <row r="31" spans="1:15" ht="14.25" customHeight="1">
      <c r="K31" s="482"/>
    </row>
    <row r="32" spans="1:15" ht="14.25" customHeight="1"/>
    <row r="33" spans="1:20" ht="14.25" customHeight="1">
      <c r="E33" s="484"/>
    </row>
    <row r="34" spans="1:20" ht="14.25" customHeight="1">
      <c r="E34" s="484"/>
    </row>
    <row r="35" spans="1:20" ht="14.25" customHeight="1"/>
    <row r="36" spans="1:20" ht="14.25" customHeight="1">
      <c r="A36" s="449"/>
    </row>
    <row r="37" spans="1:20" ht="14.25" hidden="1" customHeight="1">
      <c r="A37" s="449"/>
    </row>
    <row r="38" spans="1:20" ht="14.25" hidden="1" customHeight="1">
      <c r="A38" s="449"/>
    </row>
    <row r="39" spans="1:20" ht="14.25" hidden="1" customHeight="1">
      <c r="A39" s="449"/>
    </row>
    <row r="40" spans="1:20" ht="14.25" hidden="1" customHeight="1" thickBot="1">
      <c r="A40" s="449"/>
    </row>
    <row r="41" spans="1:20" ht="14.25" hidden="1" customHeight="1" thickTop="1">
      <c r="B41" s="619" t="s">
        <v>313</v>
      </c>
      <c r="C41" s="620"/>
      <c r="D41" s="621"/>
      <c r="F41" s="619" t="s">
        <v>180</v>
      </c>
      <c r="G41" s="620"/>
      <c r="H41" s="621"/>
      <c r="J41" s="619" t="s">
        <v>197</v>
      </c>
      <c r="K41" s="620"/>
      <c r="L41" s="621"/>
      <c r="M41" s="485"/>
      <c r="N41" s="610" t="s">
        <v>180</v>
      </c>
      <c r="O41" s="611"/>
      <c r="P41" s="611"/>
      <c r="Q41" s="611"/>
      <c r="R41" s="612"/>
    </row>
    <row r="42" spans="1:20" ht="14.25" hidden="1" customHeight="1">
      <c r="B42" s="388" t="s">
        <v>194</v>
      </c>
      <c r="C42" s="389" t="s">
        <v>195</v>
      </c>
      <c r="D42" s="390" t="s">
        <v>196</v>
      </c>
      <c r="F42" s="388" t="s">
        <v>194</v>
      </c>
      <c r="G42" s="389" t="s">
        <v>195</v>
      </c>
      <c r="H42" s="390" t="s">
        <v>196</v>
      </c>
      <c r="J42" s="395" t="s">
        <v>194</v>
      </c>
      <c r="K42" s="396" t="s">
        <v>195</v>
      </c>
      <c r="L42" s="397" t="s">
        <v>196</v>
      </c>
      <c r="M42" s="486"/>
      <c r="N42" s="398"/>
      <c r="O42" s="399">
        <v>2017</v>
      </c>
      <c r="P42" s="399">
        <v>2018</v>
      </c>
      <c r="Q42" s="399">
        <v>2019</v>
      </c>
      <c r="R42" s="400">
        <v>2020</v>
      </c>
    </row>
    <row r="43" spans="1:20" ht="14.25" hidden="1" customHeight="1">
      <c r="B43" s="387">
        <v>44398</v>
      </c>
      <c r="C43" s="391">
        <v>214.8</v>
      </c>
      <c r="D43" s="392">
        <f>LN(C43/C44)</f>
        <v>-3.2535469090927975E-3</v>
      </c>
      <c r="F43" s="387">
        <v>44398</v>
      </c>
      <c r="G43" s="393">
        <v>2231.54</v>
      </c>
      <c r="H43" s="394">
        <f>LN(G43/G44)</f>
        <v>1.04372432490605E-2</v>
      </c>
      <c r="J43" s="387">
        <v>44398</v>
      </c>
      <c r="K43" s="393">
        <v>6177.21</v>
      </c>
      <c r="L43" s="394">
        <f>LN(K43/K44)</f>
        <v>4.3365856685716195E-3</v>
      </c>
      <c r="M43" s="487"/>
      <c r="N43" s="401" t="s">
        <v>182</v>
      </c>
      <c r="O43" s="402">
        <f>AVERAGE(H86:H97)</f>
        <v>1.9313103830973413E-2</v>
      </c>
      <c r="P43" s="402">
        <f>AVERAGE(H74:H85)</f>
        <v>-1.6158345243612319E-2</v>
      </c>
      <c r="Q43" s="402">
        <f>AVERAGE(H62:H73)</f>
        <v>-1.8113954646044466E-2</v>
      </c>
      <c r="R43" s="403">
        <f>AVERAGE(H50:H61)</f>
        <v>2.1720309538692237E-2</v>
      </c>
    </row>
    <row r="44" spans="1:20" ht="14.25" hidden="1" customHeight="1">
      <c r="B44" s="387">
        <v>44368</v>
      </c>
      <c r="C44" s="391">
        <v>215.5</v>
      </c>
      <c r="D44" s="392">
        <f t="shared" ref="D44:D107" si="1">LN(C44/C45)</f>
        <v>1.1668743834377424E-2</v>
      </c>
      <c r="F44" s="387">
        <v>44368</v>
      </c>
      <c r="G44" s="393">
        <v>2208.37</v>
      </c>
      <c r="H44" s="394">
        <f t="shared" ref="H44:H107" si="2">LN(G44/G45)</f>
        <v>1.1598984577027586E-3</v>
      </c>
      <c r="J44" s="387">
        <v>44368</v>
      </c>
      <c r="K44" s="393">
        <v>6150.48</v>
      </c>
      <c r="L44" s="394">
        <f t="shared" ref="L44:L107" si="3">LN(K44/K45)</f>
        <v>2.627512279789565E-2</v>
      </c>
      <c r="M44" s="487"/>
      <c r="N44" s="404" t="s">
        <v>184</v>
      </c>
      <c r="O44" s="405">
        <f t="shared" ref="O44:R44" si="4">O43*12</f>
        <v>0.23175724597168096</v>
      </c>
      <c r="P44" s="405">
        <f t="shared" si="4"/>
        <v>-0.19390014292334784</v>
      </c>
      <c r="Q44" s="405">
        <f t="shared" si="4"/>
        <v>-0.21736745575253358</v>
      </c>
      <c r="R44" s="406">
        <f t="shared" si="4"/>
        <v>0.26064371446430684</v>
      </c>
    </row>
    <row r="45" spans="1:20" ht="14.25" hidden="1" customHeight="1">
      <c r="B45" s="387">
        <v>44337</v>
      </c>
      <c r="C45" s="391">
        <v>213</v>
      </c>
      <c r="D45" s="392">
        <f t="shared" si="1"/>
        <v>5.6497325421189072E-3</v>
      </c>
      <c r="F45" s="387">
        <v>44337</v>
      </c>
      <c r="G45" s="393">
        <v>2205.81</v>
      </c>
      <c r="H45" s="394">
        <f t="shared" si="2"/>
        <v>4.3975654247713845E-2</v>
      </c>
      <c r="J45" s="387">
        <v>44337</v>
      </c>
      <c r="K45" s="393">
        <v>5990.98</v>
      </c>
      <c r="L45" s="394">
        <f t="shared" si="3"/>
        <v>8.9221074211212392E-2</v>
      </c>
      <c r="M45" s="487"/>
      <c r="N45" s="407" t="s">
        <v>186</v>
      </c>
      <c r="O45" s="408">
        <v>0.35</v>
      </c>
      <c r="P45" s="408">
        <v>0.1</v>
      </c>
      <c r="Q45" s="408">
        <v>0.1</v>
      </c>
      <c r="R45" s="409">
        <v>0.45</v>
      </c>
    </row>
    <row r="46" spans="1:20" ht="14.25" hidden="1" customHeight="1" thickBot="1">
      <c r="B46" s="387">
        <v>44307</v>
      </c>
      <c r="C46" s="391">
        <v>211.8</v>
      </c>
      <c r="D46" s="392">
        <f t="shared" si="1"/>
        <v>7.4471225454239981E-2</v>
      </c>
      <c r="F46" s="387">
        <v>44307</v>
      </c>
      <c r="G46" s="393">
        <v>2110.91</v>
      </c>
      <c r="H46" s="394">
        <f t="shared" si="2"/>
        <v>5.6775880907292346E-2</v>
      </c>
      <c r="J46" s="387">
        <v>44307</v>
      </c>
      <c r="K46" s="393">
        <v>5479.61</v>
      </c>
      <c r="L46" s="394">
        <f t="shared" si="3"/>
        <v>3.745637840942867E-2</v>
      </c>
      <c r="M46" s="487"/>
      <c r="N46" s="613" t="s">
        <v>188</v>
      </c>
      <c r="O46" s="614"/>
      <c r="P46" s="614"/>
      <c r="Q46" s="615">
        <f>(O45*O44)+(P45*P44)+(Q45*Q44)+(R45*R44)</f>
        <v>0.15727794773143827</v>
      </c>
      <c r="R46" s="616"/>
    </row>
    <row r="47" spans="1:20" ht="14.25" hidden="1" customHeight="1" thickTop="1">
      <c r="B47" s="387">
        <v>44276</v>
      </c>
      <c r="C47" s="391">
        <v>196.6</v>
      </c>
      <c r="D47" s="392">
        <f t="shared" si="1"/>
        <v>-9.5957339259260338E-2</v>
      </c>
      <c r="F47" s="387">
        <v>44276</v>
      </c>
      <c r="G47" s="393">
        <v>1994.4</v>
      </c>
      <c r="H47" s="394">
        <f t="shared" si="2"/>
        <v>-3.0822709400254313E-2</v>
      </c>
      <c r="J47" s="387">
        <v>44276</v>
      </c>
      <c r="K47" s="393">
        <v>5278.16</v>
      </c>
      <c r="L47" s="394">
        <f t="shared" si="3"/>
        <v>-2.3708045287679204E-2</v>
      </c>
      <c r="M47" s="487"/>
      <c r="R47" s="488"/>
      <c r="S47" s="488"/>
      <c r="T47" s="489"/>
    </row>
    <row r="48" spans="1:20" ht="14.25" hidden="1" customHeight="1">
      <c r="B48" s="387">
        <v>44248</v>
      </c>
      <c r="C48" s="391">
        <v>216.4</v>
      </c>
      <c r="D48" s="392">
        <f t="shared" si="1"/>
        <v>-6.5721970308008484E-2</v>
      </c>
      <c r="F48" s="387">
        <v>44248</v>
      </c>
      <c r="G48" s="393">
        <v>2056.83</v>
      </c>
      <c r="H48" s="394">
        <f t="shared" si="2"/>
        <v>-4.91227983259711E-2</v>
      </c>
      <c r="J48" s="387">
        <v>44248</v>
      </c>
      <c r="K48" s="393">
        <v>5404.79</v>
      </c>
      <c r="L48" s="394">
        <f t="shared" si="3"/>
        <v>-4.4345168667879908E-2</v>
      </c>
      <c r="M48" s="487"/>
      <c r="R48" s="488"/>
      <c r="S48" s="488"/>
      <c r="T48" s="489"/>
    </row>
    <row r="49" spans="2:20" ht="14.25" hidden="1" customHeight="1">
      <c r="B49" s="387">
        <v>44217</v>
      </c>
      <c r="C49" s="391">
        <v>231.1</v>
      </c>
      <c r="D49" s="392">
        <f t="shared" si="1"/>
        <v>5.1498284765108912E-2</v>
      </c>
      <c r="F49" s="387">
        <v>44217</v>
      </c>
      <c r="G49" s="393">
        <v>2160.39</v>
      </c>
      <c r="H49" s="394">
        <f t="shared" si="2"/>
        <v>9.5325917827342496E-2</v>
      </c>
      <c r="J49" s="387">
        <v>44217</v>
      </c>
      <c r="K49" s="393">
        <v>5649.86</v>
      </c>
      <c r="L49" s="394">
        <f t="shared" si="3"/>
        <v>4.4850403784139022E-2</v>
      </c>
      <c r="M49" s="487"/>
      <c r="R49" s="488"/>
      <c r="S49" s="488"/>
      <c r="T49" s="489"/>
    </row>
    <row r="50" spans="2:20" ht="14.25" hidden="1" customHeight="1">
      <c r="B50" s="387">
        <v>44550</v>
      </c>
      <c r="C50" s="391">
        <v>219.5</v>
      </c>
      <c r="D50" s="392">
        <f t="shared" si="1"/>
        <v>0.1769601009049506</v>
      </c>
      <c r="F50" s="387">
        <v>44550</v>
      </c>
      <c r="G50" s="393">
        <v>1963.96</v>
      </c>
      <c r="H50" s="394">
        <f t="shared" si="2"/>
        <v>0.15177396037670474</v>
      </c>
      <c r="J50" s="387">
        <v>44550</v>
      </c>
      <c r="K50" s="393">
        <v>5402.06</v>
      </c>
      <c r="L50" s="394">
        <f t="shared" si="3"/>
        <v>0.10433550645586309</v>
      </c>
      <c r="M50" s="487"/>
      <c r="R50" s="488"/>
      <c r="S50" s="488"/>
      <c r="T50" s="489"/>
    </row>
    <row r="51" spans="2:20" ht="14.25" hidden="1" customHeight="1">
      <c r="B51" s="387">
        <v>44520</v>
      </c>
      <c r="C51" s="391">
        <v>183.9</v>
      </c>
      <c r="D51" s="392">
        <f t="shared" si="1"/>
        <v>-2.7090298185222485E-2</v>
      </c>
      <c r="F51" s="387">
        <v>44520</v>
      </c>
      <c r="G51" s="393">
        <v>1687.4</v>
      </c>
      <c r="H51" s="394">
        <f t="shared" si="2"/>
        <v>4.3177113755922605E-3</v>
      </c>
      <c r="J51" s="387">
        <v>44520</v>
      </c>
      <c r="K51" s="393">
        <v>4866.84</v>
      </c>
      <c r="L51" s="394">
        <f t="shared" si="3"/>
        <v>4.2705980931308698E-3</v>
      </c>
      <c r="M51" s="487"/>
      <c r="R51" s="488"/>
      <c r="S51" s="488"/>
      <c r="T51" s="489"/>
    </row>
    <row r="52" spans="2:20" ht="14.25" hidden="1" customHeight="1">
      <c r="B52" s="387">
        <v>44489</v>
      </c>
      <c r="C52" s="391">
        <v>188.95</v>
      </c>
      <c r="D52" s="392">
        <f t="shared" si="1"/>
        <v>-2.786945845952352E-2</v>
      </c>
      <c r="F52" s="387">
        <v>44489</v>
      </c>
      <c r="G52" s="393">
        <v>1680.13</v>
      </c>
      <c r="H52" s="394">
        <f t="shared" si="2"/>
        <v>-9.3954697521163658E-3</v>
      </c>
      <c r="J52" s="387">
        <v>44489</v>
      </c>
      <c r="K52" s="393">
        <v>4846.1000000000004</v>
      </c>
      <c r="L52" s="394">
        <f t="shared" si="3"/>
        <v>-2.3894569540799764E-2</v>
      </c>
      <c r="M52" s="487"/>
      <c r="R52" s="488"/>
      <c r="S52" s="488"/>
      <c r="T52" s="489"/>
    </row>
    <row r="53" spans="2:20" ht="14.25" hidden="1" customHeight="1">
      <c r="B53" s="387">
        <v>44459</v>
      </c>
      <c r="C53" s="391">
        <v>194.29</v>
      </c>
      <c r="D53" s="392">
        <f t="shared" si="1"/>
        <v>-7.0491225121513415E-2</v>
      </c>
      <c r="F53" s="387">
        <v>44459</v>
      </c>
      <c r="G53" s="393">
        <v>1695.99</v>
      </c>
      <c r="H53" s="394">
        <f t="shared" si="2"/>
        <v>-2.090985085361E-3</v>
      </c>
      <c r="J53" s="387">
        <v>44459</v>
      </c>
      <c r="K53" s="393">
        <v>4963.29</v>
      </c>
      <c r="L53" s="394">
        <f t="shared" si="3"/>
        <v>1.709985247134109E-2</v>
      </c>
      <c r="M53" s="487"/>
      <c r="R53" s="488"/>
      <c r="S53" s="488"/>
      <c r="T53" s="489"/>
    </row>
    <row r="54" spans="2:20" ht="14.25" hidden="1" customHeight="1">
      <c r="B54" s="387">
        <v>44428</v>
      </c>
      <c r="C54" s="391">
        <v>208.48</v>
      </c>
      <c r="D54" s="392">
        <f t="shared" si="1"/>
        <v>0.19014177115728181</v>
      </c>
      <c r="F54" s="387">
        <v>44428</v>
      </c>
      <c r="G54" s="393">
        <v>1699.54</v>
      </c>
      <c r="H54" s="394">
        <f t="shared" si="2"/>
        <v>0.17925719101514673</v>
      </c>
      <c r="J54" s="387">
        <v>44428</v>
      </c>
      <c r="K54" s="393">
        <v>4879.1400000000003</v>
      </c>
      <c r="L54" s="394">
        <f t="shared" si="3"/>
        <v>0.14645699663703377</v>
      </c>
      <c r="M54" s="487"/>
      <c r="R54" s="488"/>
      <c r="S54" s="488"/>
      <c r="T54" s="489"/>
    </row>
    <row r="55" spans="2:20" ht="14.25" hidden="1" customHeight="1">
      <c r="B55" s="387">
        <v>44397</v>
      </c>
      <c r="C55" s="391">
        <v>172.38</v>
      </c>
      <c r="D55" s="392">
        <f t="shared" si="1"/>
        <v>4.8068183301007858E-2</v>
      </c>
      <c r="F55" s="387">
        <v>44397</v>
      </c>
      <c r="G55" s="393">
        <v>1420.63</v>
      </c>
      <c r="H55" s="394">
        <f t="shared" si="2"/>
        <v>5.7699745250906848E-2</v>
      </c>
      <c r="J55" s="387">
        <v>44397</v>
      </c>
      <c r="K55" s="393">
        <v>4214.42</v>
      </c>
      <c r="L55" s="394">
        <f t="shared" si="3"/>
        <v>5.4951350315746279E-2</v>
      </c>
      <c r="M55" s="487"/>
      <c r="R55" s="488"/>
      <c r="S55" s="488"/>
      <c r="T55" s="489"/>
    </row>
    <row r="56" spans="2:20" ht="14.25" hidden="1" customHeight="1">
      <c r="B56" s="387">
        <v>44367</v>
      </c>
      <c r="C56" s="391">
        <v>164.29</v>
      </c>
      <c r="D56" s="392">
        <f t="shared" si="1"/>
        <v>-9.4485355309543731E-2</v>
      </c>
      <c r="F56" s="387">
        <v>44367</v>
      </c>
      <c r="G56" s="393">
        <v>1340.98</v>
      </c>
      <c r="H56" s="394">
        <f t="shared" si="2"/>
        <v>-1.8024764232024353E-2</v>
      </c>
      <c r="J56" s="387">
        <v>44367</v>
      </c>
      <c r="K56" s="393">
        <v>3989.08</v>
      </c>
      <c r="L56" s="394">
        <f t="shared" si="3"/>
        <v>-1.7730714251963611E-2</v>
      </c>
      <c r="M56" s="487"/>
      <c r="R56" s="488"/>
      <c r="S56" s="488"/>
      <c r="T56" s="489"/>
    </row>
    <row r="57" spans="2:20" ht="14.25" hidden="1" customHeight="1">
      <c r="B57" s="387">
        <v>44336</v>
      </c>
      <c r="C57" s="391">
        <v>180.57</v>
      </c>
      <c r="D57" s="392">
        <f t="shared" si="1"/>
        <v>4.5721277756374717E-2</v>
      </c>
      <c r="F57" s="387">
        <v>44336</v>
      </c>
      <c r="G57" s="393">
        <v>1365.37</v>
      </c>
      <c r="H57" s="394">
        <f t="shared" si="2"/>
        <v>2.5622646437766926E-2</v>
      </c>
      <c r="J57" s="387">
        <v>44336</v>
      </c>
      <c r="K57" s="393">
        <v>4060.44</v>
      </c>
      <c r="L57" s="394">
        <f t="shared" si="3"/>
        <v>1.2929120503909226E-2</v>
      </c>
      <c r="M57" s="487"/>
      <c r="R57" s="488"/>
      <c r="S57" s="488"/>
      <c r="T57" s="489"/>
    </row>
    <row r="58" spans="2:20" ht="14.25" hidden="1" customHeight="1">
      <c r="B58" s="387">
        <v>44306</v>
      </c>
      <c r="C58" s="391">
        <v>172.5</v>
      </c>
      <c r="D58" s="392">
        <f t="shared" si="1"/>
        <v>4.8764077553169027E-2</v>
      </c>
      <c r="F58" s="387">
        <v>44306</v>
      </c>
      <c r="G58" s="393">
        <v>1330.83</v>
      </c>
      <c r="H58" s="394">
        <f t="shared" si="2"/>
        <v>0</v>
      </c>
      <c r="J58" s="387">
        <v>44306</v>
      </c>
      <c r="K58" s="393">
        <v>4008.28</v>
      </c>
      <c r="L58" s="394">
        <f t="shared" si="3"/>
        <v>0</v>
      </c>
      <c r="M58" s="487"/>
      <c r="R58" s="488"/>
      <c r="S58" s="488"/>
      <c r="T58" s="489"/>
    </row>
    <row r="59" spans="2:20" ht="14.25" hidden="1" customHeight="1">
      <c r="B59" s="387">
        <v>44275</v>
      </c>
      <c r="C59" s="391">
        <v>164.29</v>
      </c>
      <c r="D59" s="392">
        <f t="shared" si="1"/>
        <v>-0.11433467461276609</v>
      </c>
      <c r="F59" s="387">
        <v>44275</v>
      </c>
      <c r="G59" s="393">
        <v>1330.83</v>
      </c>
      <c r="H59" s="394">
        <f t="shared" si="2"/>
        <v>-0.11456265257397227</v>
      </c>
      <c r="J59" s="387">
        <v>44275</v>
      </c>
      <c r="K59" s="393">
        <v>4008.28</v>
      </c>
      <c r="L59" s="394">
        <f t="shared" si="3"/>
        <v>-0.11130993074214558</v>
      </c>
      <c r="M59" s="487"/>
      <c r="R59" s="488"/>
      <c r="S59" s="488"/>
      <c r="T59" s="489"/>
    </row>
    <row r="60" spans="2:20" ht="14.25" hidden="1" customHeight="1">
      <c r="B60" s="387">
        <v>44247</v>
      </c>
      <c r="C60" s="391">
        <v>184.19</v>
      </c>
      <c r="D60" s="392">
        <f t="shared" si="1"/>
        <v>-2.4508533327175251E-2</v>
      </c>
      <c r="F60" s="387">
        <v>44247</v>
      </c>
      <c r="G60" s="393">
        <v>1492.37</v>
      </c>
      <c r="H60" s="394">
        <f t="shared" si="2"/>
        <v>-2.0999243325724923E-2</v>
      </c>
      <c r="J60" s="387">
        <v>44247</v>
      </c>
      <c r="K60" s="393">
        <v>4480.22</v>
      </c>
      <c r="L60" s="394">
        <f t="shared" si="3"/>
        <v>2.362046580431158E-3</v>
      </c>
      <c r="M60" s="487"/>
      <c r="R60" s="488"/>
      <c r="S60" s="488"/>
      <c r="T60" s="489"/>
    </row>
    <row r="61" spans="2:20" ht="14.25" hidden="1" customHeight="1">
      <c r="B61" s="387">
        <v>44216</v>
      </c>
      <c r="C61" s="391">
        <v>188.76</v>
      </c>
      <c r="D61" s="392">
        <f t="shared" si="1"/>
        <v>4.2255616848435401E-2</v>
      </c>
      <c r="F61" s="387">
        <v>44216</v>
      </c>
      <c r="G61" s="393">
        <v>1524.04</v>
      </c>
      <c r="H61" s="394">
        <f t="shared" si="2"/>
        <v>7.0455749773883306E-3</v>
      </c>
      <c r="J61" s="387">
        <v>44216</v>
      </c>
      <c r="K61" s="393">
        <v>4469.6499999999996</v>
      </c>
      <c r="L61" s="394">
        <f t="shared" si="3"/>
        <v>3.7477993070959593E-3</v>
      </c>
      <c r="M61" s="487"/>
      <c r="R61" s="488"/>
      <c r="S61" s="488"/>
      <c r="T61" s="489"/>
    </row>
    <row r="62" spans="2:20" ht="14.25" hidden="1" customHeight="1">
      <c r="B62" s="387">
        <v>44549</v>
      </c>
      <c r="C62" s="391">
        <v>180.95</v>
      </c>
      <c r="D62" s="392">
        <f t="shared" si="1"/>
        <v>-9.1963633308096343E-2</v>
      </c>
      <c r="F62" s="387">
        <v>44549</v>
      </c>
      <c r="G62" s="393">
        <v>1513.34</v>
      </c>
      <c r="H62" s="394">
        <f t="shared" si="2"/>
        <v>-8.5061247419461486E-2</v>
      </c>
      <c r="J62" s="387">
        <v>44549</v>
      </c>
      <c r="K62" s="393">
        <v>4452.93</v>
      </c>
      <c r="L62" s="394">
        <f t="shared" si="3"/>
        <v>-6.0665175917559697E-2</v>
      </c>
      <c r="M62" s="487"/>
      <c r="R62" s="488"/>
      <c r="S62" s="488"/>
      <c r="T62" s="489"/>
    </row>
    <row r="63" spans="2:20" ht="14.25" hidden="1" customHeight="1">
      <c r="B63" s="387">
        <v>44519</v>
      </c>
      <c r="C63" s="391">
        <v>198.38</v>
      </c>
      <c r="D63" s="392">
        <f t="shared" si="1"/>
        <v>-5.3393114635053543E-2</v>
      </c>
      <c r="F63" s="387">
        <v>44519</v>
      </c>
      <c r="G63" s="393">
        <v>1647.7</v>
      </c>
      <c r="H63" s="394">
        <f t="shared" si="2"/>
        <v>1.2187826414832414E-2</v>
      </c>
      <c r="J63" s="387">
        <v>44519</v>
      </c>
      <c r="K63" s="393">
        <v>4731.43</v>
      </c>
      <c r="L63" s="394">
        <f t="shared" si="3"/>
        <v>1.0309906253672093E-2</v>
      </c>
      <c r="M63" s="487"/>
      <c r="R63" s="488"/>
      <c r="S63" s="488"/>
      <c r="T63" s="489"/>
    </row>
    <row r="64" spans="2:20" ht="14.25" hidden="1" customHeight="1">
      <c r="B64" s="387">
        <v>44488</v>
      </c>
      <c r="C64" s="391">
        <v>209.26</v>
      </c>
      <c r="D64" s="392">
        <f t="shared" si="1"/>
        <v>-4.2440634982245755E-3</v>
      </c>
      <c r="F64" s="387">
        <v>44488</v>
      </c>
      <c r="G64" s="393">
        <v>1627.74</v>
      </c>
      <c r="H64" s="394">
        <f t="shared" si="2"/>
        <v>-7.8098531852648409E-2</v>
      </c>
      <c r="J64" s="387">
        <v>44488</v>
      </c>
      <c r="K64" s="393">
        <v>4682.8999999999996</v>
      </c>
      <c r="L64" s="394">
        <f t="shared" si="3"/>
        <v>-5.4991097905900795E-2</v>
      </c>
      <c r="M64" s="487"/>
      <c r="R64" s="488"/>
      <c r="S64" s="488"/>
      <c r="T64" s="489"/>
    </row>
    <row r="65" spans="2:20" ht="14.25" hidden="1" customHeight="1">
      <c r="B65" s="387">
        <v>44458</v>
      </c>
      <c r="C65" s="391">
        <v>210.15</v>
      </c>
      <c r="D65" s="392">
        <f t="shared" si="1"/>
        <v>-6.4761551225254371E-2</v>
      </c>
      <c r="F65" s="387">
        <v>44458</v>
      </c>
      <c r="G65" s="393">
        <v>1759.96</v>
      </c>
      <c r="H65" s="394">
        <f t="shared" si="2"/>
        <v>-2.2523360775036645E-2</v>
      </c>
      <c r="J65" s="387">
        <v>44458</v>
      </c>
      <c r="K65" s="393">
        <v>4947.63</v>
      </c>
      <c r="L65" s="394">
        <f t="shared" si="3"/>
        <v>-2.9502109767031423E-2</v>
      </c>
      <c r="M65" s="487"/>
      <c r="R65" s="488"/>
      <c r="S65" s="488"/>
      <c r="T65" s="489"/>
    </row>
    <row r="66" spans="2:20" ht="14.25" hidden="1" customHeight="1">
      <c r="B66" s="387">
        <v>44427</v>
      </c>
      <c r="C66" s="391">
        <v>224.21</v>
      </c>
      <c r="D66" s="392">
        <f t="shared" si="1"/>
        <v>3.9773922342203434E-3</v>
      </c>
      <c r="F66" s="387">
        <v>44427</v>
      </c>
      <c r="G66" s="393">
        <v>1800.05</v>
      </c>
      <c r="H66" s="394">
        <f t="shared" si="2"/>
        <v>-1.5353324646319897E-2</v>
      </c>
      <c r="J66" s="387">
        <v>44427</v>
      </c>
      <c r="K66" s="393">
        <v>5095.7700000000004</v>
      </c>
      <c r="L66" s="394">
        <f t="shared" si="3"/>
        <v>-8.4068593804905722E-3</v>
      </c>
      <c r="M66" s="487"/>
      <c r="R66" s="488"/>
      <c r="S66" s="488"/>
      <c r="T66" s="489"/>
    </row>
    <row r="67" spans="2:20" ht="14.25" hidden="1" customHeight="1">
      <c r="B67" s="387">
        <v>44396</v>
      </c>
      <c r="C67" s="391">
        <v>223.32</v>
      </c>
      <c r="D67" s="392">
        <f t="shared" si="1"/>
        <v>-5.2043058023329342E-2</v>
      </c>
      <c r="F67" s="387">
        <v>44396</v>
      </c>
      <c r="G67" s="393">
        <v>1827.9</v>
      </c>
      <c r="H67" s="394">
        <f t="shared" si="2"/>
        <v>-5.3880622193399667E-2</v>
      </c>
      <c r="J67" s="387">
        <v>44396</v>
      </c>
      <c r="K67" s="393">
        <v>5138.79</v>
      </c>
      <c r="L67" s="394">
        <f t="shared" si="3"/>
        <v>-5.3577020587056101E-2</v>
      </c>
      <c r="M67" s="487"/>
      <c r="R67" s="488"/>
      <c r="S67" s="488"/>
      <c r="T67" s="489"/>
    </row>
    <row r="68" spans="2:20" ht="14.25" hidden="1" customHeight="1">
      <c r="B68" s="387">
        <v>44366</v>
      </c>
      <c r="C68" s="391">
        <v>235.25</v>
      </c>
      <c r="D68" s="392">
        <f t="shared" si="1"/>
        <v>3.6624299294718402E-2</v>
      </c>
      <c r="F68" s="387">
        <v>44366</v>
      </c>
      <c r="G68" s="393">
        <v>1929.09</v>
      </c>
      <c r="H68" s="394">
        <f t="shared" si="2"/>
        <v>2.7592089060309487E-2</v>
      </c>
      <c r="J68" s="387">
        <v>44366</v>
      </c>
      <c r="K68" s="393">
        <v>5421.62</v>
      </c>
      <c r="L68" s="394">
        <f t="shared" si="3"/>
        <v>8.1264522125697614E-3</v>
      </c>
      <c r="M68" s="487"/>
      <c r="R68" s="488"/>
      <c r="S68" s="488"/>
      <c r="T68" s="489"/>
    </row>
    <row r="69" spans="2:20" ht="14.25" hidden="1" customHeight="1">
      <c r="B69" s="387">
        <v>44335</v>
      </c>
      <c r="C69" s="391">
        <v>226.79</v>
      </c>
      <c r="D69" s="392">
        <f t="shared" si="1"/>
        <v>-1.9820783342208527E-2</v>
      </c>
      <c r="F69" s="387">
        <v>44335</v>
      </c>
      <c r="G69" s="393">
        <v>1876.59</v>
      </c>
      <c r="H69" s="394">
        <f t="shared" si="2"/>
        <v>1.6072282929906333E-2</v>
      </c>
      <c r="J69" s="387">
        <v>44335</v>
      </c>
      <c r="K69" s="393">
        <v>5377.74</v>
      </c>
      <c r="L69" s="394">
        <f t="shared" si="3"/>
        <v>3.3061659197146216E-2</v>
      </c>
      <c r="M69" s="487"/>
      <c r="R69" s="488"/>
      <c r="S69" s="488"/>
      <c r="T69" s="489"/>
    </row>
    <row r="70" spans="2:20" ht="14.25" hidden="1" customHeight="1">
      <c r="B70" s="387">
        <v>44305</v>
      </c>
      <c r="C70" s="391">
        <v>231.33</v>
      </c>
      <c r="D70" s="392">
        <f t="shared" si="1"/>
        <v>-2.6574960634680476E-2</v>
      </c>
      <c r="F70" s="387">
        <v>44305</v>
      </c>
      <c r="G70" s="393">
        <v>1846.67</v>
      </c>
      <c r="H70" s="394">
        <f t="shared" si="2"/>
        <v>-6.3232278130542607E-2</v>
      </c>
      <c r="J70" s="387">
        <v>44305</v>
      </c>
      <c r="K70" s="393">
        <v>5202.8500000000004</v>
      </c>
      <c r="L70" s="394">
        <f t="shared" si="3"/>
        <v>-5.4067727065807231E-2</v>
      </c>
      <c r="M70" s="487"/>
      <c r="R70" s="488"/>
      <c r="S70" s="488"/>
      <c r="T70" s="489"/>
    </row>
    <row r="71" spans="2:20" ht="14.25" hidden="1" customHeight="1">
      <c r="B71" s="387">
        <v>44274</v>
      </c>
      <c r="C71" s="391">
        <v>237.56</v>
      </c>
      <c r="D71" s="392">
        <f t="shared" si="1"/>
        <v>-2.551773748350105E-2</v>
      </c>
      <c r="F71" s="387">
        <v>44274</v>
      </c>
      <c r="G71" s="393">
        <v>1967.21</v>
      </c>
      <c r="H71" s="394">
        <f t="shared" si="2"/>
        <v>-1.5855657370729873E-2</v>
      </c>
      <c r="J71" s="387">
        <v>44274</v>
      </c>
      <c r="K71" s="393">
        <v>5491.9</v>
      </c>
      <c r="L71" s="394">
        <f t="shared" si="3"/>
        <v>-3.9263432498743409E-2</v>
      </c>
      <c r="M71" s="487"/>
      <c r="R71" s="488"/>
      <c r="S71" s="488"/>
      <c r="T71" s="489"/>
    </row>
    <row r="72" spans="2:20" ht="14.25" hidden="1" customHeight="1">
      <c r="B72" s="387">
        <v>44246</v>
      </c>
      <c r="C72" s="391">
        <v>243.7</v>
      </c>
      <c r="D72" s="392">
        <f t="shared" si="1"/>
        <v>3.9079565954572626E-2</v>
      </c>
      <c r="F72" s="387">
        <v>44246</v>
      </c>
      <c r="G72" s="393">
        <v>1998.65</v>
      </c>
      <c r="H72" s="394">
        <f t="shared" si="2"/>
        <v>-4.647328667467707E-3</v>
      </c>
      <c r="J72" s="387">
        <v>44246</v>
      </c>
      <c r="K72" s="393">
        <v>5711.82</v>
      </c>
      <c r="L72" s="394">
        <f t="shared" si="3"/>
        <v>-1.8936074270297726E-2</v>
      </c>
      <c r="M72" s="487"/>
      <c r="R72" s="488"/>
      <c r="S72" s="488"/>
      <c r="T72" s="489"/>
    </row>
    <row r="73" spans="2:20" ht="14.25" hidden="1" customHeight="1">
      <c r="B73" s="387">
        <v>44215</v>
      </c>
      <c r="C73" s="391">
        <v>234.36</v>
      </c>
      <c r="D73" s="392">
        <f t="shared" si="1"/>
        <v>3.517361417826731E-2</v>
      </c>
      <c r="F73" s="387">
        <v>44215</v>
      </c>
      <c r="G73" s="393">
        <v>2007.96</v>
      </c>
      <c r="H73" s="394">
        <f t="shared" si="2"/>
        <v>6.5432696898024459E-2</v>
      </c>
      <c r="J73" s="387">
        <v>44215</v>
      </c>
      <c r="K73" s="393">
        <v>5821.01</v>
      </c>
      <c r="L73" s="394">
        <f t="shared" si="3"/>
        <v>7.7737634005928646E-2</v>
      </c>
      <c r="M73" s="487"/>
      <c r="R73" s="488"/>
      <c r="S73" s="488"/>
      <c r="T73" s="489"/>
    </row>
    <row r="74" spans="2:20" ht="14.25" hidden="1" customHeight="1">
      <c r="B74" s="387">
        <v>44548</v>
      </c>
      <c r="C74" s="391">
        <v>226.26</v>
      </c>
      <c r="D74" s="392">
        <f t="shared" si="1"/>
        <v>-3.5898730975165175E-2</v>
      </c>
      <c r="F74" s="387">
        <v>44548</v>
      </c>
      <c r="G74" s="393">
        <v>1880.78</v>
      </c>
      <c r="H74" s="394">
        <f t="shared" si="2"/>
        <v>1.0271738532218029E-2</v>
      </c>
      <c r="J74" s="387">
        <v>44548</v>
      </c>
      <c r="K74" s="393">
        <v>5385.64</v>
      </c>
      <c r="L74" s="394">
        <f t="shared" si="3"/>
        <v>1.9573340076730988E-2</v>
      </c>
      <c r="M74" s="487"/>
      <c r="R74" s="488"/>
      <c r="S74" s="488"/>
      <c r="T74" s="489"/>
    </row>
    <row r="75" spans="2:20" ht="14.25" hidden="1" customHeight="1">
      <c r="B75" s="387">
        <v>44518</v>
      </c>
      <c r="C75" s="391">
        <v>234.53</v>
      </c>
      <c r="D75" s="392">
        <f t="shared" si="1"/>
        <v>5.3690652376810657E-2</v>
      </c>
      <c r="F75" s="387">
        <v>44518</v>
      </c>
      <c r="G75" s="393">
        <v>1861.56</v>
      </c>
      <c r="H75" s="394">
        <f t="shared" si="2"/>
        <v>-8.8085092172726503E-3</v>
      </c>
      <c r="J75" s="387">
        <v>44518</v>
      </c>
      <c r="K75" s="393">
        <v>5281.25</v>
      </c>
      <c r="L75" s="394">
        <f t="shared" si="3"/>
        <v>-5.4328434699249886E-4</v>
      </c>
      <c r="M75" s="487"/>
      <c r="R75" s="488"/>
      <c r="S75" s="488"/>
      <c r="T75" s="489"/>
    </row>
    <row r="76" spans="2:20" ht="14.25" hidden="1" customHeight="1">
      <c r="B76" s="387">
        <v>44487</v>
      </c>
      <c r="C76" s="391">
        <v>222.27</v>
      </c>
      <c r="D76" s="392">
        <f t="shared" si="1"/>
        <v>-2.035206404915197E-2</v>
      </c>
      <c r="F76" s="387">
        <v>44487</v>
      </c>
      <c r="G76" s="393">
        <v>1878.03</v>
      </c>
      <c r="H76" s="394">
        <f t="shared" si="2"/>
        <v>-6.1947312144803408E-3</v>
      </c>
      <c r="J76" s="387">
        <v>44487</v>
      </c>
      <c r="K76" s="393">
        <v>5284.12</v>
      </c>
      <c r="L76" s="394">
        <f t="shared" si="3"/>
        <v>-1.5926262205552211E-2</v>
      </c>
      <c r="M76" s="487"/>
      <c r="R76" s="488"/>
      <c r="S76" s="488"/>
      <c r="T76" s="489"/>
    </row>
    <row r="77" spans="2:20" ht="14.25" hidden="1" customHeight="1">
      <c r="B77" s="387">
        <v>44457</v>
      </c>
      <c r="C77" s="391">
        <v>226.84</v>
      </c>
      <c r="D77" s="392">
        <f t="shared" si="1"/>
        <v>-1.7089950237134315E-2</v>
      </c>
      <c r="F77" s="387">
        <v>44457</v>
      </c>
      <c r="G77" s="393">
        <v>1889.7</v>
      </c>
      <c r="H77" s="394">
        <f t="shared" si="2"/>
        <v>-3.6888566231686494E-2</v>
      </c>
      <c r="J77" s="387">
        <v>44457</v>
      </c>
      <c r="K77" s="393">
        <v>5368.95</v>
      </c>
      <c r="L77" s="394">
        <f t="shared" si="3"/>
        <v>-4.2248518249382971E-2</v>
      </c>
      <c r="M77" s="487"/>
      <c r="R77" s="488"/>
      <c r="S77" s="488"/>
      <c r="T77" s="489"/>
    </row>
    <row r="78" spans="2:20" ht="14.25" hidden="1" customHeight="1">
      <c r="B78" s="387">
        <v>44426</v>
      </c>
      <c r="C78" s="391">
        <v>230.75</v>
      </c>
      <c r="D78" s="392">
        <f t="shared" si="1"/>
        <v>3.5958434541517086E-2</v>
      </c>
      <c r="F78" s="387">
        <v>44426</v>
      </c>
      <c r="G78" s="393">
        <v>1960.71</v>
      </c>
      <c r="H78" s="394">
        <f t="shared" si="2"/>
        <v>4.1258581353448003E-2</v>
      </c>
      <c r="J78" s="387">
        <v>44426</v>
      </c>
      <c r="K78" s="393">
        <v>5600.64</v>
      </c>
      <c r="L78" s="394">
        <f t="shared" si="3"/>
        <v>5.4677953031716291E-2</v>
      </c>
      <c r="M78" s="487"/>
      <c r="R78" s="488"/>
      <c r="S78" s="488"/>
      <c r="T78" s="489"/>
    </row>
    <row r="79" spans="2:20" ht="14.25" hidden="1" customHeight="1">
      <c r="B79" s="387">
        <v>44395</v>
      </c>
      <c r="C79" s="391">
        <v>222.6</v>
      </c>
      <c r="D79" s="392">
        <f t="shared" si="1"/>
        <v>-9.1012794591778731E-2</v>
      </c>
      <c r="F79" s="387">
        <v>44395</v>
      </c>
      <c r="G79" s="393">
        <v>1881.46</v>
      </c>
      <c r="H79" s="394">
        <f t="shared" si="2"/>
        <v>-4.0865789336869247E-2</v>
      </c>
      <c r="J79" s="387">
        <v>44395</v>
      </c>
      <c r="K79" s="393">
        <v>5302.63</v>
      </c>
      <c r="L79" s="394">
        <f t="shared" si="3"/>
        <v>-1.9206629959249412E-2</v>
      </c>
      <c r="M79" s="487"/>
      <c r="R79" s="488"/>
      <c r="S79" s="488"/>
      <c r="T79" s="489"/>
    </row>
    <row r="80" spans="2:20" ht="14.25" hidden="1" customHeight="1">
      <c r="B80" s="387">
        <v>44365</v>
      </c>
      <c r="C80" s="391">
        <v>243.81</v>
      </c>
      <c r="D80" s="392">
        <f t="shared" si="1"/>
        <v>3.7868115344850954E-2</v>
      </c>
      <c r="F80" s="387">
        <v>44365</v>
      </c>
      <c r="G80" s="393">
        <v>1959.94</v>
      </c>
      <c r="H80" s="394">
        <f t="shared" si="2"/>
        <v>-7.6494745201638086E-3</v>
      </c>
      <c r="J80" s="387">
        <v>44365</v>
      </c>
      <c r="K80" s="393">
        <v>5405.46</v>
      </c>
      <c r="L80" s="394">
        <f t="shared" si="3"/>
        <v>1.1459444261658793E-2</v>
      </c>
      <c r="M80" s="487"/>
      <c r="R80" s="488"/>
      <c r="S80" s="488"/>
      <c r="T80" s="489"/>
    </row>
    <row r="81" spans="2:20" ht="14.25" hidden="1" customHeight="1">
      <c r="B81" s="387">
        <v>44334</v>
      </c>
      <c r="C81" s="391">
        <v>234.75</v>
      </c>
      <c r="D81" s="392">
        <f t="shared" si="1"/>
        <v>-8.3879035787529796E-2</v>
      </c>
      <c r="F81" s="387">
        <v>44334</v>
      </c>
      <c r="G81" s="393">
        <v>1974.99</v>
      </c>
      <c r="H81" s="394">
        <f t="shared" si="2"/>
        <v>-8.1895332900997916E-2</v>
      </c>
      <c r="J81" s="387">
        <v>44334</v>
      </c>
      <c r="K81" s="393">
        <v>5343.87</v>
      </c>
      <c r="L81" s="394">
        <f t="shared" si="3"/>
        <v>-7.1373203004905156E-2</v>
      </c>
      <c r="M81" s="487"/>
      <c r="R81" s="488"/>
      <c r="S81" s="488"/>
      <c r="T81" s="489"/>
    </row>
    <row r="82" spans="2:20" ht="14.25" hidden="1" customHeight="1">
      <c r="B82" s="387">
        <v>44304</v>
      </c>
      <c r="C82" s="391">
        <v>255.29</v>
      </c>
      <c r="D82" s="392">
        <f t="shared" si="1"/>
        <v>-1.0055428088567636E-2</v>
      </c>
      <c r="F82" s="387">
        <v>44304</v>
      </c>
      <c r="G82" s="393">
        <v>2143.54</v>
      </c>
      <c r="H82" s="394">
        <f t="shared" si="2"/>
        <v>1.7658757607271352E-2</v>
      </c>
      <c r="J82" s="387">
        <v>44304</v>
      </c>
      <c r="K82" s="393">
        <v>5739.22</v>
      </c>
      <c r="L82" s="394">
        <f t="shared" si="3"/>
        <v>2.501396223374467E-2</v>
      </c>
      <c r="M82" s="487"/>
      <c r="R82" s="488"/>
      <c r="S82" s="488"/>
      <c r="T82" s="489"/>
    </row>
    <row r="83" spans="2:20" ht="14.25" hidden="1" customHeight="1">
      <c r="B83" s="387">
        <v>44273</v>
      </c>
      <c r="C83" s="391">
        <v>257.87</v>
      </c>
      <c r="D83" s="392">
        <f t="shared" si="1"/>
        <v>-1.0607825752290159E-2</v>
      </c>
      <c r="F83" s="387">
        <v>44273</v>
      </c>
      <c r="G83" s="393">
        <v>2106.02</v>
      </c>
      <c r="H83" s="394">
        <f t="shared" si="2"/>
        <v>-1.8978132797206358E-2</v>
      </c>
      <c r="J83" s="387">
        <v>44273</v>
      </c>
      <c r="K83" s="393">
        <v>5597.44</v>
      </c>
      <c r="L83" s="394">
        <f t="shared" si="3"/>
        <v>-3.6399928816816862E-2</v>
      </c>
      <c r="M83" s="487"/>
      <c r="R83" s="488"/>
      <c r="S83" s="488"/>
      <c r="T83" s="489"/>
    </row>
    <row r="84" spans="2:20" ht="14.25" hidden="1" customHeight="1">
      <c r="B84" s="387">
        <v>44245</v>
      </c>
      <c r="C84" s="391">
        <v>260.62</v>
      </c>
      <c r="D84" s="392">
        <f t="shared" si="1"/>
        <v>-3.9719399317403183E-2</v>
      </c>
      <c r="F84" s="387">
        <v>44245</v>
      </c>
      <c r="G84" s="393">
        <v>2146.37</v>
      </c>
      <c r="H84" s="394">
        <f t="shared" si="2"/>
        <v>-4.2228962829262549E-2</v>
      </c>
      <c r="J84" s="387">
        <v>44245</v>
      </c>
      <c r="K84" s="393">
        <v>5804.94</v>
      </c>
      <c r="L84" s="394">
        <f t="shared" si="3"/>
        <v>-3.9658308263173604E-2</v>
      </c>
      <c r="M84" s="487"/>
      <c r="R84" s="488"/>
      <c r="S84" s="488"/>
      <c r="T84" s="489"/>
    </row>
    <row r="85" spans="2:20" ht="14.25" hidden="1" customHeight="1">
      <c r="B85" s="387">
        <v>44214</v>
      </c>
      <c r="C85" s="391">
        <v>271.18</v>
      </c>
      <c r="D85" s="392">
        <f t="shared" si="1"/>
        <v>7.7130684553448584E-2</v>
      </c>
      <c r="F85" s="387">
        <v>44214</v>
      </c>
      <c r="G85" s="393">
        <v>2238.9499999999998</v>
      </c>
      <c r="H85" s="394">
        <f t="shared" si="2"/>
        <v>-1.957972136834582E-2</v>
      </c>
      <c r="J85" s="387">
        <v>44214</v>
      </c>
      <c r="K85" s="393">
        <v>6039.78</v>
      </c>
      <c r="L85" s="394">
        <f t="shared" si="3"/>
        <v>-3.3336691692054367E-2</v>
      </c>
      <c r="M85" s="487"/>
      <c r="R85" s="488"/>
      <c r="S85" s="488"/>
      <c r="T85" s="489"/>
    </row>
    <row r="86" spans="2:20" ht="14.25" hidden="1" customHeight="1">
      <c r="B86" s="387">
        <v>44547</v>
      </c>
      <c r="C86" s="391">
        <v>251.05</v>
      </c>
      <c r="D86" s="392">
        <f t="shared" si="1"/>
        <v>0</v>
      </c>
      <c r="F86" s="387">
        <v>44547</v>
      </c>
      <c r="G86" s="393">
        <v>2283.2199999999998</v>
      </c>
      <c r="H86" s="394">
        <f t="shared" si="2"/>
        <v>5.7496287616809975E-3</v>
      </c>
      <c r="J86" s="387">
        <v>44547</v>
      </c>
      <c r="K86" s="393">
        <v>6244.52</v>
      </c>
      <c r="L86" s="394">
        <f t="shared" si="3"/>
        <v>-9.9336507425219819E-3</v>
      </c>
      <c r="M86" s="487"/>
      <c r="R86" s="488"/>
      <c r="S86" s="488"/>
      <c r="T86" s="489"/>
    </row>
    <row r="87" spans="2:20" ht="14.25" hidden="1" customHeight="1">
      <c r="B87" s="387">
        <v>44517</v>
      </c>
      <c r="C87" s="391">
        <v>251.05</v>
      </c>
      <c r="D87" s="392">
        <f t="shared" si="1"/>
        <v>8.7007755841400011E-2</v>
      </c>
      <c r="F87" s="387">
        <v>44517</v>
      </c>
      <c r="G87" s="393">
        <v>2270.13</v>
      </c>
      <c r="H87" s="394">
        <f t="shared" si="2"/>
        <v>4.6018177455950576E-2</v>
      </c>
      <c r="J87" s="387">
        <v>44517</v>
      </c>
      <c r="K87" s="393">
        <v>6306.86</v>
      </c>
      <c r="L87" s="394">
        <f t="shared" si="3"/>
        <v>4.6618779187778889E-2</v>
      </c>
      <c r="M87" s="487"/>
      <c r="R87" s="488"/>
      <c r="S87" s="488"/>
      <c r="T87" s="489"/>
    </row>
    <row r="88" spans="2:20" ht="14.25" hidden="1" customHeight="1">
      <c r="B88" s="387">
        <v>44486</v>
      </c>
      <c r="C88" s="391">
        <v>230.13</v>
      </c>
      <c r="D88" s="392">
        <f t="shared" si="1"/>
        <v>-2.8529305749106112E-2</v>
      </c>
      <c r="F88" s="387">
        <v>44486</v>
      </c>
      <c r="G88" s="393">
        <v>2168.0300000000002</v>
      </c>
      <c r="H88" s="394">
        <f t="shared" si="2"/>
        <v>-4.4090239960925945E-3</v>
      </c>
      <c r="J88" s="387">
        <v>44486</v>
      </c>
      <c r="K88" s="393">
        <v>6019.59</v>
      </c>
      <c r="L88" s="394">
        <f t="shared" si="3"/>
        <v>-1.2095160590257342E-2</v>
      </c>
      <c r="M88" s="487"/>
      <c r="R88" s="488"/>
      <c r="S88" s="488"/>
      <c r="T88" s="489"/>
    </row>
    <row r="89" spans="2:20" ht="14.25" hidden="1" customHeight="1">
      <c r="B89" s="387">
        <v>44456</v>
      </c>
      <c r="C89" s="391">
        <v>236.79</v>
      </c>
      <c r="D89" s="392">
        <f t="shared" si="1"/>
        <v>6.7247820252287149E-2</v>
      </c>
      <c r="F89" s="387">
        <v>44456</v>
      </c>
      <c r="G89" s="393">
        <v>2177.61</v>
      </c>
      <c r="H89" s="394">
        <f t="shared" si="2"/>
        <v>1.8020425875103819E-2</v>
      </c>
      <c r="J89" s="387">
        <v>44456</v>
      </c>
      <c r="K89" s="393">
        <v>6092.84</v>
      </c>
      <c r="L89" s="394">
        <f t="shared" si="3"/>
        <v>1.4283749209425677E-2</v>
      </c>
      <c r="M89" s="487"/>
      <c r="R89" s="488"/>
      <c r="S89" s="488"/>
      <c r="T89" s="489"/>
    </row>
    <row r="90" spans="2:20" ht="14.25" hidden="1" customHeight="1">
      <c r="B90" s="387">
        <v>44425</v>
      </c>
      <c r="C90" s="391">
        <v>221.39</v>
      </c>
      <c r="D90" s="392">
        <f t="shared" si="1"/>
        <v>1.1630679469864914E-2</v>
      </c>
      <c r="F90" s="387">
        <v>44425</v>
      </c>
      <c r="G90" s="393">
        <v>2138.7199999999998</v>
      </c>
      <c r="H90" s="394">
        <f t="shared" si="2"/>
        <v>-2.2324878148689557E-3</v>
      </c>
      <c r="J90" s="387">
        <v>44425</v>
      </c>
      <c r="K90" s="393">
        <v>6006.43</v>
      </c>
      <c r="L90" s="394">
        <f t="shared" si="3"/>
        <v>2.4571749427468561E-2</v>
      </c>
      <c r="M90" s="487"/>
      <c r="R90" s="488"/>
      <c r="S90" s="488"/>
      <c r="T90" s="489"/>
    </row>
    <row r="91" spans="2:20" ht="14.25" hidden="1" customHeight="1">
      <c r="B91" s="387">
        <v>44394</v>
      </c>
      <c r="C91" s="391">
        <v>218.83</v>
      </c>
      <c r="D91" s="392">
        <f t="shared" si="1"/>
        <v>-2.5491443687882136E-2</v>
      </c>
      <c r="F91" s="387">
        <v>44394</v>
      </c>
      <c r="G91" s="393">
        <v>2143.5</v>
      </c>
      <c r="H91" s="394">
        <f t="shared" si="2"/>
        <v>2.8246857059948345E-2</v>
      </c>
      <c r="J91" s="387">
        <v>44394</v>
      </c>
      <c r="K91" s="393">
        <v>5860.64</v>
      </c>
      <c r="L91" s="394">
        <f t="shared" si="3"/>
        <v>3.553481193741128E-2</v>
      </c>
      <c r="M91" s="487"/>
      <c r="R91" s="488"/>
      <c r="S91" s="488"/>
      <c r="T91" s="489"/>
    </row>
    <row r="92" spans="2:20" ht="14.25" hidden="1" customHeight="1">
      <c r="B92" s="387">
        <v>44364</v>
      </c>
      <c r="C92" s="391">
        <v>224.48</v>
      </c>
      <c r="D92" s="392">
        <f t="shared" si="1"/>
        <v>2.8328714491113335E-2</v>
      </c>
      <c r="F92" s="387">
        <v>44364</v>
      </c>
      <c r="G92" s="393">
        <v>2083.8000000000002</v>
      </c>
      <c r="H92" s="394">
        <f t="shared" si="2"/>
        <v>3.845931770590108E-2</v>
      </c>
      <c r="J92" s="387">
        <v>44364</v>
      </c>
      <c r="K92" s="393">
        <v>5656.04</v>
      </c>
      <c r="L92" s="394">
        <f t="shared" si="3"/>
        <v>4.5749286990581846E-2</v>
      </c>
      <c r="M92" s="487"/>
      <c r="R92" s="488"/>
      <c r="S92" s="488"/>
      <c r="T92" s="489"/>
    </row>
    <row r="93" spans="2:20" ht="14.25" hidden="1" customHeight="1">
      <c r="B93" s="387">
        <v>44333</v>
      </c>
      <c r="C93" s="391">
        <v>218.21</v>
      </c>
      <c r="D93" s="392">
        <f t="shared" si="1"/>
        <v>-6.0309955727938626E-3</v>
      </c>
      <c r="F93" s="387">
        <v>44333</v>
      </c>
      <c r="G93" s="393">
        <v>2005.18</v>
      </c>
      <c r="H93" s="394">
        <f t="shared" si="2"/>
        <v>-5.4459999670490884E-3</v>
      </c>
      <c r="J93" s="387">
        <v>44333</v>
      </c>
      <c r="K93" s="393">
        <v>5403.11</v>
      </c>
      <c r="L93" s="394">
        <f t="shared" si="3"/>
        <v>-1.3318013563673244E-2</v>
      </c>
      <c r="M93" s="487"/>
      <c r="R93" s="488"/>
      <c r="S93" s="488"/>
      <c r="T93" s="489"/>
    </row>
    <row r="94" spans="2:20" ht="14.25" hidden="1" customHeight="1">
      <c r="B94" s="387">
        <v>44303</v>
      </c>
      <c r="C94" s="391">
        <v>219.53</v>
      </c>
      <c r="D94" s="392">
        <f t="shared" si="1"/>
        <v>2.0664840101046848E-2</v>
      </c>
      <c r="F94" s="387">
        <v>44303</v>
      </c>
      <c r="G94" s="393">
        <v>2016.13</v>
      </c>
      <c r="H94" s="394">
        <f t="shared" si="2"/>
        <v>-3.6343021022403658E-2</v>
      </c>
      <c r="J94" s="387">
        <v>44303</v>
      </c>
      <c r="K94" s="393">
        <v>5475.55</v>
      </c>
      <c r="L94" s="394">
        <f t="shared" si="3"/>
        <v>-4.3607893970898204E-2</v>
      </c>
      <c r="M94" s="487"/>
      <c r="R94" s="488"/>
      <c r="S94" s="488"/>
      <c r="T94" s="489"/>
    </row>
    <row r="95" spans="2:20" ht="14.25" hidden="1" customHeight="1">
      <c r="B95" s="387">
        <v>44272</v>
      </c>
      <c r="C95" s="391">
        <v>215.04</v>
      </c>
      <c r="D95" s="392">
        <f t="shared" si="1"/>
        <v>3.5499965157652358E-2</v>
      </c>
      <c r="F95" s="387">
        <v>44272</v>
      </c>
      <c r="G95" s="393">
        <v>2090.75</v>
      </c>
      <c r="H95" s="394">
        <f t="shared" si="2"/>
        <v>3.1548296414766162E-2</v>
      </c>
      <c r="J95" s="387">
        <v>44272</v>
      </c>
      <c r="K95" s="393">
        <v>5719.61</v>
      </c>
      <c r="L95" s="394">
        <f t="shared" si="3"/>
        <v>1.8870515746984704E-2</v>
      </c>
      <c r="M95" s="487"/>
      <c r="R95" s="488"/>
      <c r="S95" s="488"/>
      <c r="T95" s="489"/>
    </row>
    <row r="96" spans="2:20" ht="14.25" hidden="1" customHeight="1">
      <c r="B96" s="387">
        <v>44244</v>
      </c>
      <c r="C96" s="391">
        <v>207.54</v>
      </c>
      <c r="D96" s="392">
        <f t="shared" si="1"/>
        <v>3.1472070130620686E-2</v>
      </c>
      <c r="F96" s="387">
        <v>44244</v>
      </c>
      <c r="G96" s="393">
        <v>2025.82</v>
      </c>
      <c r="H96" s="394">
        <f t="shared" si="2"/>
        <v>1.6258255044246602E-2</v>
      </c>
      <c r="J96" s="387">
        <v>44244</v>
      </c>
      <c r="K96" s="393">
        <v>5612.69</v>
      </c>
      <c r="L96" s="394">
        <f t="shared" si="3"/>
        <v>2.6055008617336044E-2</v>
      </c>
      <c r="M96" s="487"/>
      <c r="R96" s="488"/>
      <c r="S96" s="488"/>
      <c r="T96" s="489"/>
    </row>
    <row r="97" spans="2:20" ht="14.25" hidden="1" customHeight="1">
      <c r="B97" s="387">
        <v>44213</v>
      </c>
      <c r="C97" s="391">
        <v>201.11</v>
      </c>
      <c r="D97" s="392">
        <f t="shared" si="1"/>
        <v>4.2406130274379693E-2</v>
      </c>
      <c r="F97" s="387">
        <v>44213</v>
      </c>
      <c r="G97" s="393">
        <v>1993.15</v>
      </c>
      <c r="H97" s="394">
        <f t="shared" si="2"/>
        <v>9.5886820454497659E-2</v>
      </c>
      <c r="J97" s="387">
        <v>44213</v>
      </c>
      <c r="K97" s="393">
        <v>5468.34</v>
      </c>
      <c r="L97" s="394">
        <f t="shared" si="3"/>
        <v>8.2353052237210525E-2</v>
      </c>
      <c r="M97" s="487"/>
      <c r="R97" s="488"/>
      <c r="S97" s="488"/>
      <c r="T97" s="489"/>
    </row>
    <row r="98" spans="2:20" ht="14.25" hidden="1" customHeight="1">
      <c r="B98" s="387">
        <v>44546</v>
      </c>
      <c r="C98" s="391">
        <v>192.76</v>
      </c>
      <c r="D98" s="392">
        <f t="shared" si="1"/>
        <v>1.7004098193413288E-2</v>
      </c>
      <c r="F98" s="387">
        <v>44546</v>
      </c>
      <c r="G98" s="393">
        <v>1810.91</v>
      </c>
      <c r="H98" s="394">
        <f t="shared" si="2"/>
        <v>1.9843160225794444E-2</v>
      </c>
      <c r="J98" s="387">
        <v>44546</v>
      </c>
      <c r="K98" s="393">
        <v>5036.05</v>
      </c>
      <c r="L98" s="394">
        <f t="shared" si="3"/>
        <v>4.7747826762639056E-2</v>
      </c>
      <c r="M98" s="487"/>
      <c r="R98" s="488"/>
      <c r="S98" s="488"/>
      <c r="T98" s="489"/>
    </row>
    <row r="99" spans="2:20" ht="14.25" hidden="1" customHeight="1">
      <c r="B99" s="387">
        <v>44516</v>
      </c>
      <c r="C99" s="391">
        <v>189.51</v>
      </c>
      <c r="D99" s="392">
        <f t="shared" si="1"/>
        <v>5.9275114014357986E-3</v>
      </c>
      <c r="F99" s="387">
        <v>44516</v>
      </c>
      <c r="G99" s="393">
        <v>1775.33</v>
      </c>
      <c r="H99" s="394">
        <f t="shared" si="2"/>
        <v>2.3884216545197779E-2</v>
      </c>
      <c r="J99" s="387">
        <v>44516</v>
      </c>
      <c r="K99" s="393">
        <v>4801.24</v>
      </c>
      <c r="L99" s="394">
        <f t="shared" si="3"/>
        <v>4.4521538646936802E-2</v>
      </c>
      <c r="M99" s="487"/>
      <c r="R99" s="488"/>
      <c r="S99" s="488"/>
      <c r="T99" s="489"/>
    </row>
    <row r="100" spans="2:20" ht="14.25" hidden="1" customHeight="1">
      <c r="B100" s="387">
        <v>44485</v>
      </c>
      <c r="C100" s="391">
        <v>188.39</v>
      </c>
      <c r="D100" s="392">
        <f t="shared" si="1"/>
        <v>-2.9681476182149467E-3</v>
      </c>
      <c r="F100" s="387">
        <v>44485</v>
      </c>
      <c r="G100" s="393">
        <v>1733.43</v>
      </c>
      <c r="H100" s="394">
        <f t="shared" si="2"/>
        <v>-2.5780655804299168E-2</v>
      </c>
      <c r="J100" s="387">
        <v>44485</v>
      </c>
      <c r="K100" s="393">
        <v>4592.17</v>
      </c>
      <c r="L100" s="394">
        <f t="shared" si="3"/>
        <v>-2.2183771345533888E-2</v>
      </c>
      <c r="M100" s="487"/>
      <c r="R100" s="488"/>
      <c r="S100" s="488"/>
      <c r="T100" s="489"/>
    </row>
    <row r="101" spans="2:20" ht="14.25" hidden="1" customHeight="1">
      <c r="B101" s="387">
        <v>44455</v>
      </c>
      <c r="C101" s="391">
        <v>188.95</v>
      </c>
      <c r="D101" s="392">
        <f t="shared" si="1"/>
        <v>2.3724571105878056E-2</v>
      </c>
      <c r="F101" s="387">
        <v>44455</v>
      </c>
      <c r="G101" s="393">
        <v>1778.7</v>
      </c>
      <c r="H101" s="394">
        <f t="shared" si="2"/>
        <v>2.4667875728735925E-2</v>
      </c>
      <c r="J101" s="387">
        <v>44455</v>
      </c>
      <c r="K101" s="393">
        <v>4695.18</v>
      </c>
      <c r="L101" s="394">
        <f t="shared" si="3"/>
        <v>3.6571972282771217E-2</v>
      </c>
      <c r="M101" s="487"/>
      <c r="R101" s="488"/>
      <c r="S101" s="488"/>
      <c r="T101" s="489"/>
    </row>
    <row r="102" spans="2:20" ht="14.25" hidden="1" customHeight="1">
      <c r="B102" s="387">
        <v>44424</v>
      </c>
      <c r="C102" s="391">
        <v>184.52</v>
      </c>
      <c r="D102" s="392">
        <f t="shared" si="1"/>
        <v>-1.8152047729799777E-2</v>
      </c>
      <c r="F102" s="387">
        <v>44424</v>
      </c>
      <c r="G102" s="393">
        <v>1735.36</v>
      </c>
      <c r="H102" s="394">
        <f t="shared" si="2"/>
        <v>-1.9922841494525192E-2</v>
      </c>
      <c r="J102" s="387">
        <v>44424</v>
      </c>
      <c r="K102" s="393">
        <v>4526.57</v>
      </c>
      <c r="L102" s="394">
        <f t="shared" si="3"/>
        <v>2.7176584998514904E-4</v>
      </c>
      <c r="M102" s="487"/>
      <c r="R102" s="488"/>
      <c r="S102" s="488"/>
      <c r="T102" s="489"/>
    </row>
    <row r="103" spans="2:20" ht="14.25" hidden="1" customHeight="1">
      <c r="B103" s="387">
        <v>44393</v>
      </c>
      <c r="C103" s="391">
        <v>187.9</v>
      </c>
      <c r="D103" s="392">
        <f t="shared" si="1"/>
        <v>5.2826888413331869E-3</v>
      </c>
      <c r="F103" s="387">
        <v>44393</v>
      </c>
      <c r="G103" s="393">
        <v>1770.28</v>
      </c>
      <c r="H103" s="394">
        <f t="shared" si="2"/>
        <v>-3.0498997723069012E-4</v>
      </c>
      <c r="J103" s="387">
        <v>44393</v>
      </c>
      <c r="K103" s="393">
        <v>4525.34</v>
      </c>
      <c r="L103" s="394">
        <f t="shared" si="3"/>
        <v>3.9322883154225613E-3</v>
      </c>
      <c r="M103" s="487"/>
    </row>
    <row r="104" spans="2:20" ht="14.25" hidden="1" customHeight="1">
      <c r="B104" s="387">
        <v>44363</v>
      </c>
      <c r="C104" s="391">
        <v>186.91</v>
      </c>
      <c r="D104" s="392">
        <f t="shared" si="1"/>
        <v>2.054015242446389E-2</v>
      </c>
      <c r="F104" s="387">
        <v>44363</v>
      </c>
      <c r="G104" s="393">
        <v>1770.82</v>
      </c>
      <c r="H104" s="394">
        <f t="shared" si="2"/>
        <v>1.4229812823202351E-2</v>
      </c>
      <c r="J104" s="387">
        <v>44363</v>
      </c>
      <c r="K104" s="393">
        <v>4507.58</v>
      </c>
      <c r="L104" s="394">
        <f t="shared" si="3"/>
        <v>1.9758746619578622E-2</v>
      </c>
      <c r="M104" s="487"/>
    </row>
    <row r="105" spans="2:20" ht="14.25" hidden="1" customHeight="1">
      <c r="B105" s="387">
        <v>44332</v>
      </c>
      <c r="C105" s="391">
        <v>183.11</v>
      </c>
      <c r="D105" s="392">
        <f t="shared" si="1"/>
        <v>2.6843906451051301E-2</v>
      </c>
      <c r="F105" s="387">
        <v>44332</v>
      </c>
      <c r="G105" s="393">
        <v>1745.8</v>
      </c>
      <c r="H105" s="394">
        <f t="shared" si="2"/>
        <v>7.9526363360630167E-2</v>
      </c>
      <c r="J105" s="387">
        <v>44332</v>
      </c>
      <c r="K105" s="393">
        <v>4419.3900000000003</v>
      </c>
      <c r="L105" s="394">
        <f t="shared" si="3"/>
        <v>5.1943869596515695E-2</v>
      </c>
      <c r="M105" s="487"/>
    </row>
    <row r="106" spans="2:20" ht="14.25" hidden="1" customHeight="1">
      <c r="B106" s="387">
        <v>44302</v>
      </c>
      <c r="C106" s="391">
        <v>178.26</v>
      </c>
      <c r="D106" s="392">
        <f t="shared" si="1"/>
        <v>1.0715798212834193E-2</v>
      </c>
      <c r="F106" s="387">
        <v>44302</v>
      </c>
      <c r="G106" s="393">
        <v>1612.34</v>
      </c>
      <c r="H106" s="394">
        <f t="shared" si="2"/>
        <v>-2.2452181752363281E-2</v>
      </c>
      <c r="J106" s="387">
        <v>44302</v>
      </c>
      <c r="K106" s="393">
        <v>4195.6899999999996</v>
      </c>
      <c r="L106" s="394">
        <f t="shared" si="3"/>
        <v>-3.7847575150730881E-2</v>
      </c>
      <c r="M106" s="487"/>
    </row>
    <row r="107" spans="2:20" ht="14.25" hidden="1" customHeight="1">
      <c r="B107" s="387">
        <v>44271</v>
      </c>
      <c r="C107" s="391">
        <v>176.36</v>
      </c>
      <c r="D107" s="392">
        <f t="shared" si="1"/>
        <v>-4.9772519634383908E-2</v>
      </c>
      <c r="F107" s="387">
        <v>44271</v>
      </c>
      <c r="G107" s="393">
        <v>1648.95</v>
      </c>
      <c r="H107" s="394">
        <f t="shared" si="2"/>
        <v>-4.3841174587304341E-2</v>
      </c>
      <c r="J107" s="387">
        <v>44271</v>
      </c>
      <c r="K107" s="393">
        <v>4357.53</v>
      </c>
      <c r="L107" s="394">
        <f t="shared" si="3"/>
        <v>-3.48262658383112E-2</v>
      </c>
      <c r="M107" s="487"/>
    </row>
    <row r="108" spans="2:20" ht="14.25" hidden="1" customHeight="1">
      <c r="B108" s="387">
        <v>44243</v>
      </c>
      <c r="C108" s="391">
        <v>185.36</v>
      </c>
      <c r="D108" s="392">
        <f t="shared" ref="D108:D137" si="5">LN(C108/C109)</f>
        <v>1.7579162313668548E-2</v>
      </c>
      <c r="F108" s="387">
        <v>44243</v>
      </c>
      <c r="G108" s="393">
        <v>1722.85</v>
      </c>
      <c r="H108" s="394">
        <f t="shared" ref="H108:H137" si="6">LN(G108/G109)</f>
        <v>2.1499136694688612E-3</v>
      </c>
      <c r="J108" s="387">
        <v>44243</v>
      </c>
      <c r="K108" s="393">
        <v>4511.96</v>
      </c>
      <c r="L108" s="394">
        <f t="shared" ref="L108:L137" si="7">LN(K108/K109)</f>
        <v>-6.3913791749159151E-3</v>
      </c>
      <c r="M108" s="487"/>
    </row>
    <row r="109" spans="2:20" ht="14.25" hidden="1" customHeight="1">
      <c r="B109" s="387">
        <v>44212</v>
      </c>
      <c r="C109" s="391">
        <v>182.13</v>
      </c>
      <c r="D109" s="392">
        <f t="shared" si="5"/>
        <v>2.0300197942528284E-2</v>
      </c>
      <c r="F109" s="387">
        <v>44212</v>
      </c>
      <c r="G109" s="393">
        <v>1719.15</v>
      </c>
      <c r="H109" s="394">
        <f t="shared" si="6"/>
        <v>-1.2968506446457362E-2</v>
      </c>
      <c r="J109" s="387">
        <v>44212</v>
      </c>
      <c r="K109" s="393">
        <v>4540.8900000000003</v>
      </c>
      <c r="L109" s="394">
        <f t="shared" si="7"/>
        <v>-1.4000097459192687E-2</v>
      </c>
      <c r="M109" s="487"/>
    </row>
    <row r="110" spans="2:20" ht="14.25" hidden="1" customHeight="1">
      <c r="B110" s="387">
        <v>44545</v>
      </c>
      <c r="C110" s="391">
        <v>178.47</v>
      </c>
      <c r="D110" s="392">
        <f t="shared" si="5"/>
        <v>-1.5676617061930779E-3</v>
      </c>
      <c r="F110" s="387">
        <v>44545</v>
      </c>
      <c r="G110" s="393">
        <v>1741.59</v>
      </c>
      <c r="H110" s="394">
        <f t="shared" si="6"/>
        <v>4.3214756795258765E-3</v>
      </c>
      <c r="J110" s="387">
        <v>44545</v>
      </c>
      <c r="K110" s="393">
        <v>4604.91</v>
      </c>
      <c r="L110" s="394">
        <f t="shared" si="7"/>
        <v>5.2079935696118535E-3</v>
      </c>
      <c r="M110" s="487"/>
    </row>
    <row r="111" spans="2:20" ht="14.25" hidden="1" customHeight="1">
      <c r="B111" s="387">
        <v>44515</v>
      </c>
      <c r="C111" s="391">
        <v>178.75</v>
      </c>
      <c r="D111" s="392">
        <f t="shared" si="5"/>
        <v>4.4675563836245061E-2</v>
      </c>
      <c r="F111" s="387">
        <v>44515</v>
      </c>
      <c r="G111" s="393">
        <v>1734.08</v>
      </c>
      <c r="H111" s="394">
        <f t="shared" si="6"/>
        <v>4.6878021137047457E-3</v>
      </c>
      <c r="J111" s="387">
        <v>44515</v>
      </c>
      <c r="K111" s="393">
        <v>4580.99</v>
      </c>
      <c r="L111" s="394">
        <f t="shared" si="7"/>
        <v>3.610534600256606E-3</v>
      </c>
      <c r="M111" s="487"/>
    </row>
    <row r="112" spans="2:20" ht="14.25" hidden="1" customHeight="1">
      <c r="B112" s="387">
        <v>44484</v>
      </c>
      <c r="C112" s="391">
        <v>170.94</v>
      </c>
      <c r="D112" s="392">
        <f t="shared" si="5"/>
        <v>-2.5984486371760776E-2</v>
      </c>
      <c r="F112" s="387">
        <v>44484</v>
      </c>
      <c r="G112" s="393">
        <v>1725.97</v>
      </c>
      <c r="H112" s="394">
        <f t="shared" si="6"/>
        <v>-6.8298528039582251E-2</v>
      </c>
      <c r="J112" s="387">
        <v>44484</v>
      </c>
      <c r="K112" s="393">
        <v>4564.4799999999996</v>
      </c>
      <c r="L112" s="394">
        <f t="shared" si="7"/>
        <v>-6.1102881619569505E-2</v>
      </c>
      <c r="M112" s="487"/>
    </row>
    <row r="113" spans="2:13" ht="14.25" hidden="1" customHeight="1">
      <c r="B113" s="387">
        <v>44454</v>
      </c>
      <c r="C113" s="391">
        <v>175.44</v>
      </c>
      <c r="D113" s="392">
        <f t="shared" si="5"/>
        <v>-1.3980700337051363E-2</v>
      </c>
      <c r="F113" s="387">
        <v>44454</v>
      </c>
      <c r="G113" s="393">
        <v>1847.97</v>
      </c>
      <c r="H113" s="394">
        <f t="shared" si="6"/>
        <v>1.142888242168349E-2</v>
      </c>
      <c r="J113" s="387">
        <v>44454</v>
      </c>
      <c r="K113" s="393">
        <v>4852.08</v>
      </c>
      <c r="L113" s="394">
        <f t="shared" si="7"/>
        <v>1.7342135989757756E-2</v>
      </c>
      <c r="M113" s="487"/>
    </row>
    <row r="114" spans="2:13" ht="14.25" hidden="1" customHeight="1">
      <c r="B114" s="387">
        <v>44423</v>
      </c>
      <c r="C114" s="391">
        <v>177.91</v>
      </c>
      <c r="D114" s="392">
        <f t="shared" si="5"/>
        <v>4.2425212549674365E-2</v>
      </c>
      <c r="F114" s="387">
        <v>44423</v>
      </c>
      <c r="G114" s="393">
        <v>1826.97</v>
      </c>
      <c r="H114" s="394">
        <f t="shared" si="6"/>
        <v>-3.0690547412672017E-2</v>
      </c>
      <c r="J114" s="387">
        <v>44423</v>
      </c>
      <c r="K114" s="393">
        <v>4768.66</v>
      </c>
      <c r="L114" s="394">
        <f t="shared" si="7"/>
        <v>-4.9451201918597441E-3</v>
      </c>
      <c r="M114" s="487"/>
    </row>
    <row r="115" spans="2:13" ht="14.25" hidden="1" customHeight="1">
      <c r="B115" s="387">
        <v>44392</v>
      </c>
      <c r="C115" s="391">
        <v>170.52</v>
      </c>
      <c r="D115" s="392">
        <f t="shared" si="5"/>
        <v>3.9291088606352428E-2</v>
      </c>
      <c r="F115" s="387">
        <v>44392</v>
      </c>
      <c r="G115" s="393">
        <v>1883.91</v>
      </c>
      <c r="H115" s="394">
        <f t="shared" si="6"/>
        <v>6.2731505034149343E-2</v>
      </c>
      <c r="J115" s="387">
        <v>44392</v>
      </c>
      <c r="K115" s="393">
        <v>4792.3</v>
      </c>
      <c r="L115" s="394">
        <f t="shared" si="7"/>
        <v>4.4634838136496179E-2</v>
      </c>
      <c r="M115" s="487"/>
    </row>
    <row r="116" spans="2:13" ht="14.25" hidden="1" customHeight="1">
      <c r="B116" s="387">
        <v>44362</v>
      </c>
      <c r="C116" s="391">
        <v>163.95</v>
      </c>
      <c r="D116" s="392">
        <f t="shared" si="5"/>
        <v>6.1311042161428138E-2</v>
      </c>
      <c r="F116" s="387">
        <v>44362</v>
      </c>
      <c r="G116" s="393">
        <v>1769.36</v>
      </c>
      <c r="H116" s="394">
        <f t="shared" si="6"/>
        <v>6.4354117493830654E-3</v>
      </c>
      <c r="J116" s="387">
        <v>44362</v>
      </c>
      <c r="K116" s="393">
        <v>4583.1000000000004</v>
      </c>
      <c r="L116" s="394">
        <f t="shared" si="7"/>
        <v>-8.3969012736297599E-4</v>
      </c>
      <c r="M116" s="487"/>
    </row>
    <row r="117" spans="2:13" ht="14.25" hidden="1" customHeight="1">
      <c r="B117" s="387">
        <v>44331</v>
      </c>
      <c r="C117" s="391">
        <v>154.19999999999999</v>
      </c>
      <c r="D117" s="392">
        <f t="shared" si="5"/>
        <v>2.4673735003214159E-3</v>
      </c>
      <c r="F117" s="387">
        <v>44331</v>
      </c>
      <c r="G117" s="393">
        <v>1758.01</v>
      </c>
      <c r="H117" s="394">
        <f t="shared" si="6"/>
        <v>0.12904207911103152</v>
      </c>
      <c r="J117" s="387">
        <v>44331</v>
      </c>
      <c r="K117" s="393">
        <v>4586.95</v>
      </c>
      <c r="L117" s="394">
        <f t="shared" si="7"/>
        <v>0.1251702646324605</v>
      </c>
      <c r="M117" s="487"/>
    </row>
    <row r="118" spans="2:13" ht="14.25" hidden="1" customHeight="1">
      <c r="B118" s="387">
        <v>44301</v>
      </c>
      <c r="C118" s="391">
        <v>153.82</v>
      </c>
      <c r="D118" s="392">
        <f t="shared" si="5"/>
        <v>-6.724905573331566E-2</v>
      </c>
      <c r="F118" s="387">
        <v>44301</v>
      </c>
      <c r="G118" s="393">
        <v>1545.18</v>
      </c>
      <c r="H118" s="394">
        <f t="shared" si="6"/>
        <v>-0.11209621572191464</v>
      </c>
      <c r="J118" s="387">
        <v>44301</v>
      </c>
      <c r="K118" s="393">
        <v>4047.28</v>
      </c>
      <c r="L118" s="394">
        <f t="shared" si="7"/>
        <v>-0.11278284359389856</v>
      </c>
      <c r="M118" s="487"/>
    </row>
    <row r="119" spans="2:13" ht="14.25" hidden="1" customHeight="1">
      <c r="B119" s="387">
        <v>44270</v>
      </c>
      <c r="C119" s="391">
        <v>164.52</v>
      </c>
      <c r="D119" s="392">
        <f t="shared" si="5"/>
        <v>-2.6102543123669125E-3</v>
      </c>
      <c r="F119" s="387">
        <v>44270</v>
      </c>
      <c r="G119" s="393">
        <v>1728.47</v>
      </c>
      <c r="H119" s="394">
        <f t="shared" si="6"/>
        <v>-2.5103578254705487E-2</v>
      </c>
      <c r="J119" s="387">
        <v>44270</v>
      </c>
      <c r="K119" s="393">
        <v>4530.4799999999996</v>
      </c>
      <c r="L119" s="394">
        <f t="shared" si="7"/>
        <v>-5.0093916559675558E-2</v>
      </c>
      <c r="M119" s="487"/>
    </row>
    <row r="120" spans="2:13" ht="14.25" hidden="1" customHeight="1">
      <c r="B120" s="387">
        <v>44242</v>
      </c>
      <c r="C120" s="391">
        <v>164.95</v>
      </c>
      <c r="D120" s="392">
        <f t="shared" si="5"/>
        <v>3.6675304350284786E-2</v>
      </c>
      <c r="F120" s="387">
        <v>44242</v>
      </c>
      <c r="G120" s="393">
        <v>1772.41</v>
      </c>
      <c r="H120" s="394">
        <f t="shared" si="6"/>
        <v>1.4010955984577068E-2</v>
      </c>
      <c r="J120" s="387">
        <v>44242</v>
      </c>
      <c r="K120" s="393">
        <v>4763.21</v>
      </c>
      <c r="L120" s="394">
        <f t="shared" si="7"/>
        <v>8.2574450063508456E-3</v>
      </c>
      <c r="M120" s="487"/>
    </row>
    <row r="121" spans="2:13" ht="14.25" hidden="1" customHeight="1">
      <c r="B121" s="387">
        <v>44211</v>
      </c>
      <c r="C121" s="391">
        <v>159.01</v>
      </c>
      <c r="D121" s="392">
        <f t="shared" si="5"/>
        <v>-1.640454688596726E-2</v>
      </c>
      <c r="F121" s="387">
        <v>44211</v>
      </c>
      <c r="G121" s="393">
        <v>1747.75</v>
      </c>
      <c r="H121" s="394">
        <f t="shared" si="6"/>
        <v>-3.1150428985223692E-2</v>
      </c>
      <c r="J121" s="387">
        <v>44211</v>
      </c>
      <c r="K121" s="393">
        <v>4724.04</v>
      </c>
      <c r="L121" s="394">
        <f t="shared" si="7"/>
        <v>-2.9394127910558388E-2</v>
      </c>
      <c r="M121" s="487"/>
    </row>
    <row r="122" spans="2:13" ht="14.25" hidden="1" customHeight="1">
      <c r="B122" s="387">
        <v>44544</v>
      </c>
      <c r="C122" s="391">
        <v>161.63999999999999</v>
      </c>
      <c r="D122" s="392">
        <f t="shared" si="5"/>
        <v>2.588269189662892E-2</v>
      </c>
      <c r="F122" s="387">
        <v>44544</v>
      </c>
      <c r="G122" s="393">
        <v>1803.05</v>
      </c>
      <c r="H122" s="394">
        <f t="shared" si="6"/>
        <v>2.4137457657742337E-2</v>
      </c>
      <c r="J122" s="387">
        <v>44544</v>
      </c>
      <c r="K122" s="393">
        <v>4864.96</v>
      </c>
      <c r="L122" s="394">
        <f t="shared" si="7"/>
        <v>1.9833789394552447E-2</v>
      </c>
      <c r="M122" s="487"/>
    </row>
    <row r="123" spans="2:13" ht="14.25" hidden="1" customHeight="1">
      <c r="B123" s="387">
        <v>44514</v>
      </c>
      <c r="C123" s="391">
        <v>157.51</v>
      </c>
      <c r="D123" s="392">
        <f t="shared" si="5"/>
        <v>-0.10111687235890682</v>
      </c>
      <c r="F123" s="387">
        <v>44514</v>
      </c>
      <c r="G123" s="393">
        <v>1760.05</v>
      </c>
      <c r="H123" s="394">
        <f t="shared" si="6"/>
        <v>-0.10221532302350149</v>
      </c>
      <c r="J123" s="387">
        <v>44514</v>
      </c>
      <c r="K123" s="393">
        <v>4769.42</v>
      </c>
      <c r="L123" s="394">
        <f t="shared" si="7"/>
        <v>-8.1272547444889598E-2</v>
      </c>
      <c r="M123" s="487"/>
    </row>
    <row r="124" spans="2:13" ht="14.25" hidden="1" customHeight="1">
      <c r="B124" s="387">
        <v>44483</v>
      </c>
      <c r="C124" s="391">
        <v>174.27</v>
      </c>
      <c r="D124" s="392">
        <f t="shared" si="5"/>
        <v>6.7162415388980393E-2</v>
      </c>
      <c r="F124" s="387">
        <v>44483</v>
      </c>
      <c r="G124" s="393">
        <v>1949.47</v>
      </c>
      <c r="H124" s="394">
        <f t="shared" si="6"/>
        <v>-5.8307115480080423E-3</v>
      </c>
      <c r="J124" s="387">
        <v>44483</v>
      </c>
      <c r="K124" s="393">
        <v>5173.2299999999996</v>
      </c>
      <c r="L124" s="394">
        <f t="shared" si="7"/>
        <v>1.9308667280662863E-2</v>
      </c>
      <c r="M124" s="487"/>
    </row>
    <row r="125" spans="2:13" ht="14.25" hidden="1" customHeight="1">
      <c r="B125" s="387">
        <v>44453</v>
      </c>
      <c r="C125" s="391">
        <v>162.94999999999999</v>
      </c>
      <c r="D125" s="392">
        <f t="shared" si="5"/>
        <v>0.10594027524436123</v>
      </c>
      <c r="F125" s="387">
        <v>44453</v>
      </c>
      <c r="G125" s="393">
        <v>1960.87</v>
      </c>
      <c r="H125" s="394">
        <f t="shared" si="6"/>
        <v>0.13466345515100153</v>
      </c>
      <c r="J125" s="387">
        <v>44453</v>
      </c>
      <c r="K125" s="393">
        <v>5074.3</v>
      </c>
      <c r="L125" s="394">
        <f t="shared" si="7"/>
        <v>0.10916904952407451</v>
      </c>
      <c r="M125" s="487"/>
    </row>
    <row r="126" spans="2:13" ht="14.25" hidden="1" customHeight="1">
      <c r="B126" s="387">
        <v>44422</v>
      </c>
      <c r="C126" s="391">
        <v>146.57</v>
      </c>
      <c r="D126" s="392">
        <f t="shared" si="5"/>
        <v>5.4325000127771715E-2</v>
      </c>
      <c r="F126" s="387">
        <v>44422</v>
      </c>
      <c r="G126" s="393">
        <v>1713.82</v>
      </c>
      <c r="H126" s="394">
        <f t="shared" si="6"/>
        <v>5.228818207465849E-2</v>
      </c>
      <c r="J126" s="387">
        <v>44422</v>
      </c>
      <c r="K126" s="393">
        <v>4549.51</v>
      </c>
      <c r="L126" s="394">
        <f t="shared" si="7"/>
        <v>2.7263498689206883E-2</v>
      </c>
      <c r="M126" s="487"/>
    </row>
    <row r="127" spans="2:13" ht="14.25" hidden="1" customHeight="1">
      <c r="B127" s="387">
        <v>44391</v>
      </c>
      <c r="C127" s="391">
        <v>138.82</v>
      </c>
      <c r="D127" s="392">
        <f t="shared" si="5"/>
        <v>-0.10013148122369042</v>
      </c>
      <c r="F127" s="387">
        <v>44391</v>
      </c>
      <c r="G127" s="393">
        <v>1626.51</v>
      </c>
      <c r="H127" s="394">
        <f t="shared" si="6"/>
        <v>-1.1151781900681917E-2</v>
      </c>
      <c r="J127" s="387">
        <v>44391</v>
      </c>
      <c r="K127" s="393">
        <v>4427.1499999999996</v>
      </c>
      <c r="L127" s="394">
        <f t="shared" si="7"/>
        <v>-1.1983074952971313E-2</v>
      </c>
      <c r="M127" s="487"/>
    </row>
    <row r="128" spans="2:13" ht="14.25" hidden="1" customHeight="1">
      <c r="B128" s="387">
        <v>44361</v>
      </c>
      <c r="C128" s="391">
        <v>153.44</v>
      </c>
      <c r="D128" s="392">
        <f t="shared" si="5"/>
        <v>4.4170377383758994E-2</v>
      </c>
      <c r="F128" s="387">
        <v>44361</v>
      </c>
      <c r="G128" s="393">
        <v>1644.75</v>
      </c>
      <c r="H128" s="394">
        <f t="shared" si="6"/>
        <v>2.1813950977809814E-2</v>
      </c>
      <c r="J128" s="387">
        <v>44361</v>
      </c>
      <c r="K128" s="393">
        <v>4480.5200000000004</v>
      </c>
      <c r="L128" s="394">
        <f t="shared" si="7"/>
        <v>1.1233437882183757E-2</v>
      </c>
      <c r="M128" s="487"/>
    </row>
    <row r="129" spans="1:13" ht="14.25" hidden="1" customHeight="1">
      <c r="B129" s="387">
        <v>44330</v>
      </c>
      <c r="C129" s="391">
        <v>146.81</v>
      </c>
      <c r="D129" s="392">
        <f t="shared" si="5"/>
        <v>-4.2409181925093513E-2</v>
      </c>
      <c r="F129" s="387">
        <v>44330</v>
      </c>
      <c r="G129" s="393">
        <v>1609.26</v>
      </c>
      <c r="H129" s="394">
        <f t="shared" si="6"/>
        <v>-3.8198220621698267E-2</v>
      </c>
      <c r="J129" s="387">
        <v>44330</v>
      </c>
      <c r="K129" s="393">
        <v>4430.47</v>
      </c>
      <c r="L129" s="394">
        <f t="shared" si="7"/>
        <v>-3.0318016108027937E-2</v>
      </c>
      <c r="M129" s="487"/>
    </row>
    <row r="130" spans="1:13" ht="14.25" hidden="1" customHeight="1">
      <c r="B130" s="387">
        <v>44300</v>
      </c>
      <c r="C130" s="391">
        <v>153.16999999999999</v>
      </c>
      <c r="D130" s="392">
        <f t="shared" si="5"/>
        <v>5.3574063819768002E-2</v>
      </c>
      <c r="F130" s="387">
        <v>44300</v>
      </c>
      <c r="G130" s="393">
        <v>1671.92</v>
      </c>
      <c r="H130" s="394">
        <f t="shared" si="6"/>
        <v>4.1765217577898028E-2</v>
      </c>
      <c r="J130" s="387">
        <v>44300</v>
      </c>
      <c r="K130" s="393">
        <v>4566.8500000000004</v>
      </c>
      <c r="L130" s="394">
        <f t="shared" si="7"/>
        <v>1.6530104839008332E-2</v>
      </c>
      <c r="M130" s="487"/>
    </row>
    <row r="131" spans="1:13" ht="14.25" hidden="1" customHeight="1">
      <c r="B131" s="387">
        <v>44269</v>
      </c>
      <c r="C131" s="391">
        <v>145.18</v>
      </c>
      <c r="D131" s="392">
        <f t="shared" si="5"/>
        <v>4.9024783154046877E-3</v>
      </c>
      <c r="F131" s="387">
        <v>44269</v>
      </c>
      <c r="G131" s="393">
        <v>1603.53</v>
      </c>
      <c r="H131" s="394">
        <f t="shared" si="6"/>
        <v>-5.4832017079030661E-2</v>
      </c>
      <c r="J131" s="387">
        <v>44269</v>
      </c>
      <c r="K131" s="393">
        <v>4491.9799999999996</v>
      </c>
      <c r="L131" s="394">
        <f t="shared" si="7"/>
        <v>-5.5821559421447474E-2</v>
      </c>
      <c r="M131" s="487"/>
    </row>
    <row r="132" spans="1:13" ht="14.25" hidden="1" customHeight="1">
      <c r="B132" s="387">
        <v>44241</v>
      </c>
      <c r="C132" s="391">
        <v>144.47</v>
      </c>
      <c r="D132" s="392">
        <f t="shared" si="5"/>
        <v>0.15125922258134888</v>
      </c>
      <c r="F132" s="387">
        <v>44241</v>
      </c>
      <c r="G132" s="393">
        <v>1693.91</v>
      </c>
      <c r="H132" s="394">
        <f t="shared" si="6"/>
        <v>2.0011042611385949E-2</v>
      </c>
      <c r="J132" s="387">
        <v>44241</v>
      </c>
      <c r="K132" s="393">
        <v>4749.8599999999997</v>
      </c>
      <c r="L132" s="394">
        <f t="shared" si="7"/>
        <v>-6.9661994834420242E-4</v>
      </c>
      <c r="M132" s="487"/>
    </row>
    <row r="133" spans="1:13" ht="14.25" hidden="1" customHeight="1">
      <c r="B133" s="387">
        <v>44210</v>
      </c>
      <c r="C133" s="391">
        <v>124.19</v>
      </c>
      <c r="D133" s="392">
        <f t="shared" si="5"/>
        <v>0.18301428399186567</v>
      </c>
      <c r="F133" s="387">
        <v>44210</v>
      </c>
      <c r="G133" s="393">
        <v>1660.35</v>
      </c>
      <c r="H133" s="394">
        <f t="shared" si="6"/>
        <v>0.12432030253205731</v>
      </c>
      <c r="J133" s="387">
        <v>44210</v>
      </c>
      <c r="K133" s="393">
        <v>4753.17</v>
      </c>
      <c r="L133" s="394">
        <f t="shared" si="7"/>
        <v>0.1080062257427112</v>
      </c>
      <c r="M133" s="487"/>
    </row>
    <row r="134" spans="1:13" ht="14.25" hidden="1" customHeight="1">
      <c r="B134" s="387">
        <v>44543</v>
      </c>
      <c r="C134" s="391">
        <v>103.42</v>
      </c>
      <c r="D134" s="392">
        <f t="shared" si="5"/>
        <v>-1.6209053867187611E-2</v>
      </c>
      <c r="F134" s="387">
        <v>44543</v>
      </c>
      <c r="G134" s="393">
        <v>1466.25</v>
      </c>
      <c r="H134" s="394">
        <f t="shared" si="6"/>
        <v>-2.5273817246890599E-2</v>
      </c>
      <c r="J134" s="387">
        <v>44543</v>
      </c>
      <c r="K134" s="393">
        <v>4266.55</v>
      </c>
      <c r="L134" s="394">
        <f t="shared" si="7"/>
        <v>8.4333467940198546E-3</v>
      </c>
      <c r="M134" s="487"/>
    </row>
    <row r="135" spans="1:13" ht="14.25" hidden="1" customHeight="1">
      <c r="B135" s="387">
        <v>44513</v>
      </c>
      <c r="C135" s="391">
        <v>105.11</v>
      </c>
      <c r="D135" s="392">
        <f t="shared" si="5"/>
        <v>7.1878365724051901E-2</v>
      </c>
      <c r="F135" s="387">
        <v>44513</v>
      </c>
      <c r="G135" s="393">
        <v>1503.78</v>
      </c>
      <c r="H135" s="394">
        <f t="shared" si="6"/>
        <v>6.5712253621421843E-2</v>
      </c>
      <c r="J135" s="387">
        <v>44513</v>
      </c>
      <c r="K135" s="393">
        <v>4230.72</v>
      </c>
      <c r="L135" s="394">
        <f t="shared" si="7"/>
        <v>6.418056892289016E-2</v>
      </c>
      <c r="M135" s="487"/>
    </row>
    <row r="136" spans="1:13" ht="14.25" hidden="1" customHeight="1">
      <c r="B136" s="387">
        <v>44482</v>
      </c>
      <c r="C136" s="391">
        <v>97.82</v>
      </c>
      <c r="D136" s="392">
        <f t="shared" si="5"/>
        <v>3.389450145342289E-2</v>
      </c>
      <c r="F136" s="387">
        <v>44482</v>
      </c>
      <c r="G136" s="393">
        <v>1408.14</v>
      </c>
      <c r="H136" s="394">
        <f t="shared" si="6"/>
        <v>-2.2734474903078332E-2</v>
      </c>
      <c r="J136" s="387">
        <v>44482</v>
      </c>
      <c r="K136" s="393">
        <v>3967.72</v>
      </c>
      <c r="L136" s="394">
        <f t="shared" si="7"/>
        <v>7.5999050241051108E-3</v>
      </c>
      <c r="M136" s="487"/>
    </row>
    <row r="137" spans="1:13" ht="14.25" hidden="1" customHeight="1">
      <c r="B137" s="387">
        <v>44452</v>
      </c>
      <c r="C137" s="391">
        <v>94.56</v>
      </c>
      <c r="D137" s="392">
        <f t="shared" si="5"/>
        <v>2.3324048655328913E-2</v>
      </c>
      <c r="E137" s="435"/>
      <c r="F137" s="387">
        <v>44452</v>
      </c>
      <c r="G137" s="393">
        <v>1440.52</v>
      </c>
      <c r="H137" s="394">
        <f t="shared" si="6"/>
        <v>-6.6791243840098949E-2</v>
      </c>
      <c r="J137" s="387">
        <v>44452</v>
      </c>
      <c r="K137" s="393">
        <v>3937.68</v>
      </c>
      <c r="L137" s="394">
        <f t="shared" si="7"/>
        <v>-4.7075333859654032E-2</v>
      </c>
      <c r="M137" s="487"/>
    </row>
    <row r="138" spans="1:13" ht="14.25" hidden="1" customHeight="1">
      <c r="A138" s="490"/>
      <c r="B138" s="387">
        <v>44421</v>
      </c>
      <c r="C138" s="391">
        <v>92.38</v>
      </c>
      <c r="D138" s="392"/>
      <c r="E138" s="435"/>
      <c r="F138" s="387">
        <v>44421</v>
      </c>
      <c r="G138" s="393">
        <v>1540.02</v>
      </c>
      <c r="H138" s="394"/>
      <c r="J138" s="387">
        <v>44421</v>
      </c>
      <c r="K138" s="393">
        <v>4127.4799999999996</v>
      </c>
      <c r="L138" s="394"/>
    </row>
    <row r="139" spans="1:13" ht="14.25" hidden="1" customHeight="1">
      <c r="A139" s="449"/>
      <c r="B139" s="435"/>
      <c r="C139" s="435"/>
      <c r="D139" s="435"/>
      <c r="E139" s="435"/>
    </row>
    <row r="140" spans="1:13" ht="14.25" hidden="1" customHeight="1">
      <c r="A140" s="449"/>
      <c r="B140" s="491"/>
      <c r="C140" s="491"/>
      <c r="D140" s="491"/>
      <c r="F140" s="435"/>
      <c r="G140" s="435"/>
      <c r="H140" s="435"/>
      <c r="I140" s="435"/>
      <c r="J140" s="435"/>
      <c r="K140" s="435"/>
    </row>
    <row r="141" spans="1:13" ht="14.25" hidden="1" customHeight="1">
      <c r="A141" s="449"/>
      <c r="F141" s="435"/>
      <c r="G141" s="435"/>
      <c r="H141" s="435"/>
      <c r="I141" s="435"/>
      <c r="J141" s="435"/>
    </row>
    <row r="142" spans="1:13" ht="14.25" hidden="1" customHeight="1">
      <c r="A142" s="449"/>
      <c r="F142" s="435"/>
      <c r="G142" s="435"/>
      <c r="H142" s="435"/>
      <c r="I142" s="435"/>
      <c r="J142" s="435"/>
    </row>
    <row r="143" spans="1:13" ht="14.25" hidden="1" customHeight="1">
      <c r="A143" s="449"/>
    </row>
    <row r="144" spans="1:13" ht="14.25" customHeight="1">
      <c r="A144" s="449"/>
    </row>
    <row r="145" spans="1:1" ht="14.25" customHeight="1">
      <c r="A145" s="449"/>
    </row>
    <row r="146" spans="1:1" ht="14.25" customHeight="1">
      <c r="A146" s="449"/>
    </row>
    <row r="147" spans="1:1" ht="14.25" customHeight="1">
      <c r="A147" s="449"/>
    </row>
    <row r="148" spans="1:1" ht="14.25" customHeight="1">
      <c r="A148" s="449"/>
    </row>
    <row r="149" spans="1:1" ht="14.25" customHeight="1">
      <c r="A149" s="449"/>
    </row>
    <row r="150" spans="1:1" ht="14.25" customHeight="1">
      <c r="A150" s="449"/>
    </row>
    <row r="151" spans="1:1" ht="14.25" customHeight="1">
      <c r="A151" s="449"/>
    </row>
    <row r="152" spans="1:1" ht="14.25" customHeight="1">
      <c r="A152" s="449"/>
    </row>
    <row r="153" spans="1:1" ht="14.25" customHeight="1">
      <c r="A153" s="449"/>
    </row>
    <row r="154" spans="1:1" ht="14.25" customHeight="1">
      <c r="A154" s="449"/>
    </row>
    <row r="155" spans="1:1" ht="14.25" customHeight="1">
      <c r="A155" s="449"/>
    </row>
    <row r="156" spans="1:1" ht="14.25" customHeight="1">
      <c r="A156" s="449"/>
    </row>
    <row r="157" spans="1:1" ht="14.25" customHeight="1">
      <c r="A157" s="449"/>
    </row>
    <row r="158" spans="1:1" ht="14.25" customHeight="1">
      <c r="A158" s="449"/>
    </row>
    <row r="159" spans="1:1" ht="14.25" customHeight="1">
      <c r="A159" s="449"/>
    </row>
    <row r="160" spans="1:1" ht="14.25" customHeight="1">
      <c r="A160" s="449"/>
    </row>
    <row r="161" spans="1:1" ht="14.25" customHeight="1">
      <c r="A161" s="449"/>
    </row>
    <row r="162" spans="1:1" ht="14.25" customHeight="1">
      <c r="A162" s="449"/>
    </row>
    <row r="163" spans="1:1" ht="14.25" customHeight="1">
      <c r="A163" s="449"/>
    </row>
    <row r="164" spans="1:1" ht="14.25" customHeight="1">
      <c r="A164" s="449"/>
    </row>
    <row r="165" spans="1:1" ht="14.25" customHeight="1">
      <c r="A165" s="449"/>
    </row>
    <row r="166" spans="1:1" ht="14.25" customHeight="1">
      <c r="A166" s="449"/>
    </row>
    <row r="167" spans="1:1" ht="14.25" customHeight="1">
      <c r="A167" s="449"/>
    </row>
    <row r="168" spans="1:1" ht="14.25" customHeight="1">
      <c r="A168" s="449"/>
    </row>
    <row r="169" spans="1:1" ht="14.25" customHeight="1">
      <c r="A169" s="449"/>
    </row>
    <row r="170" spans="1:1" ht="14.25" customHeight="1">
      <c r="A170" s="449"/>
    </row>
    <row r="171" spans="1:1" ht="14.25" customHeight="1">
      <c r="A171" s="449"/>
    </row>
    <row r="172" spans="1:1" ht="14.25" customHeight="1">
      <c r="A172" s="449"/>
    </row>
    <row r="173" spans="1:1" ht="14.25" customHeight="1">
      <c r="A173" s="449"/>
    </row>
    <row r="174" spans="1:1" ht="14.25" customHeight="1">
      <c r="A174" s="449"/>
    </row>
    <row r="175" spans="1:1" ht="14.25" customHeight="1">
      <c r="A175" s="449"/>
    </row>
    <row r="176" spans="1:1" ht="14.25" customHeight="1">
      <c r="A176" s="449"/>
    </row>
    <row r="177" spans="1:1" ht="14.25" customHeight="1">
      <c r="A177" s="449"/>
    </row>
    <row r="178" spans="1:1" ht="14.25" customHeight="1">
      <c r="A178" s="449"/>
    </row>
    <row r="179" spans="1:1" ht="14.25" customHeight="1">
      <c r="A179" s="449"/>
    </row>
    <row r="180" spans="1:1" ht="14.25" customHeight="1">
      <c r="A180" s="449"/>
    </row>
    <row r="181" spans="1:1" ht="14.25" customHeight="1">
      <c r="A181" s="449"/>
    </row>
    <row r="182" spans="1:1" ht="14.25" customHeight="1">
      <c r="A182" s="449"/>
    </row>
    <row r="183" spans="1:1" ht="14.25" customHeight="1">
      <c r="A183" s="449"/>
    </row>
    <row r="184" spans="1:1" ht="14.25" customHeight="1">
      <c r="A184" s="449"/>
    </row>
    <row r="185" spans="1:1" ht="14.25" customHeight="1">
      <c r="A185" s="449"/>
    </row>
    <row r="186" spans="1:1" ht="14.25" customHeight="1">
      <c r="A186" s="449"/>
    </row>
    <row r="187" spans="1:1" ht="14.25" customHeight="1">
      <c r="A187" s="449"/>
    </row>
    <row r="188" spans="1:1" ht="14.25" customHeight="1">
      <c r="A188" s="449"/>
    </row>
    <row r="189" spans="1:1" ht="14.25" customHeight="1">
      <c r="A189" s="449"/>
    </row>
    <row r="190" spans="1:1" ht="14.25" customHeight="1">
      <c r="A190" s="449"/>
    </row>
    <row r="191" spans="1:1" ht="14.25" customHeight="1">
      <c r="A191" s="449"/>
    </row>
    <row r="192" spans="1:1" ht="14.25" customHeight="1">
      <c r="A192" s="449"/>
    </row>
    <row r="193" spans="1:1" ht="14.25" customHeight="1">
      <c r="A193" s="449"/>
    </row>
    <row r="194" spans="1:1" ht="14.25" customHeight="1">
      <c r="A194" s="449"/>
    </row>
    <row r="195" spans="1:1" ht="14.25" customHeight="1">
      <c r="A195" s="449"/>
    </row>
    <row r="196" spans="1:1" ht="14.25" customHeight="1">
      <c r="A196" s="449"/>
    </row>
    <row r="197" spans="1:1" ht="14.25" customHeight="1">
      <c r="A197" s="449"/>
    </row>
    <row r="198" spans="1:1" ht="14.25" customHeight="1">
      <c r="A198" s="449"/>
    </row>
    <row r="199" spans="1:1" ht="14.25" customHeight="1">
      <c r="A199" s="449"/>
    </row>
    <row r="200" spans="1:1" ht="14.25" customHeight="1">
      <c r="A200" s="449"/>
    </row>
    <row r="201" spans="1:1" ht="14.25" customHeight="1">
      <c r="A201" s="449"/>
    </row>
    <row r="202" spans="1:1" ht="14.25" customHeight="1">
      <c r="A202" s="449"/>
    </row>
    <row r="203" spans="1:1" ht="14.25" customHeight="1">
      <c r="A203" s="449"/>
    </row>
    <row r="204" spans="1:1" ht="14.25" customHeight="1">
      <c r="A204" s="449"/>
    </row>
    <row r="205" spans="1:1" ht="14.25" customHeight="1">
      <c r="A205" s="449"/>
    </row>
    <row r="206" spans="1:1" ht="14.25" customHeight="1">
      <c r="A206" s="449"/>
    </row>
    <row r="207" spans="1:1" ht="14.25" customHeight="1">
      <c r="A207" s="449"/>
    </row>
    <row r="208" spans="1:1" ht="14.25" customHeight="1">
      <c r="A208" s="449"/>
    </row>
    <row r="209" spans="1:1" ht="14.25" customHeight="1">
      <c r="A209" s="449"/>
    </row>
    <row r="210" spans="1:1" ht="14.25" customHeight="1">
      <c r="A210" s="449"/>
    </row>
    <row r="211" spans="1:1" ht="14.25" customHeight="1">
      <c r="A211" s="449"/>
    </row>
    <row r="212" spans="1:1" ht="14.25" customHeight="1">
      <c r="A212" s="449"/>
    </row>
    <row r="213" spans="1:1" ht="14.25" customHeight="1">
      <c r="A213" s="449"/>
    </row>
    <row r="214" spans="1:1" ht="14.25" customHeight="1">
      <c r="A214" s="449"/>
    </row>
    <row r="215" spans="1:1" ht="14.25" customHeight="1">
      <c r="A215" s="449"/>
    </row>
    <row r="216" spans="1:1" ht="14.25" customHeight="1">
      <c r="A216" s="449"/>
    </row>
    <row r="217" spans="1:1" ht="14.25" customHeight="1">
      <c r="A217" s="449"/>
    </row>
    <row r="218" spans="1:1" ht="14.25" customHeight="1">
      <c r="A218" s="449"/>
    </row>
    <row r="219" spans="1:1" ht="14.25" customHeight="1">
      <c r="A219" s="449"/>
    </row>
    <row r="220" spans="1:1" ht="14.25" customHeight="1">
      <c r="A220" s="449"/>
    </row>
    <row r="221" spans="1:1" ht="14.25" customHeight="1">
      <c r="A221" s="449"/>
    </row>
    <row r="222" spans="1:1" ht="14.25" customHeight="1">
      <c r="A222" s="449"/>
    </row>
    <row r="223" spans="1:1" ht="14.25" customHeight="1">
      <c r="A223" s="449"/>
    </row>
    <row r="224" spans="1:1" ht="14.25" customHeight="1">
      <c r="A224" s="449"/>
    </row>
    <row r="225" spans="1:1" ht="14.25" customHeight="1">
      <c r="A225" s="449"/>
    </row>
    <row r="226" spans="1:1" ht="14.25" customHeight="1">
      <c r="A226" s="449"/>
    </row>
    <row r="227" spans="1:1" ht="14.25" customHeight="1">
      <c r="A227" s="449"/>
    </row>
    <row r="228" spans="1:1" ht="14.25" customHeight="1">
      <c r="A228" s="449"/>
    </row>
    <row r="229" spans="1:1" ht="14.25" customHeight="1">
      <c r="A229" s="449"/>
    </row>
    <row r="230" spans="1:1" ht="14.25" customHeight="1">
      <c r="A230" s="449"/>
    </row>
    <row r="231" spans="1:1" ht="14.25" customHeight="1">
      <c r="A231" s="449"/>
    </row>
    <row r="232" spans="1:1" ht="14.25" customHeight="1">
      <c r="A232" s="449"/>
    </row>
    <row r="233" spans="1:1" ht="14.25" customHeight="1">
      <c r="A233" s="449"/>
    </row>
    <row r="234" spans="1:1" ht="14.25" customHeight="1">
      <c r="A234" s="449"/>
    </row>
    <row r="235" spans="1:1" ht="14.25" customHeight="1">
      <c r="A235" s="449"/>
    </row>
    <row r="236" spans="1:1" ht="14.25" customHeight="1">
      <c r="A236" s="449"/>
    </row>
    <row r="237" spans="1:1" ht="14.25" customHeight="1">
      <c r="A237" s="449"/>
    </row>
    <row r="238" spans="1:1" ht="14.25" customHeight="1">
      <c r="A238" s="449"/>
    </row>
    <row r="239" spans="1:1" ht="14.25" customHeight="1">
      <c r="A239" s="449"/>
    </row>
    <row r="240" spans="1:1" ht="14.25" customHeight="1">
      <c r="A240" s="449"/>
    </row>
    <row r="241" spans="1:1" ht="14.25" customHeight="1">
      <c r="A241" s="449"/>
    </row>
    <row r="242" spans="1:1" ht="14.25" customHeight="1">
      <c r="A242" s="449"/>
    </row>
    <row r="243" spans="1:1" ht="14.25" customHeight="1">
      <c r="A243" s="449"/>
    </row>
    <row r="244" spans="1:1" ht="14.25" customHeight="1">
      <c r="A244" s="449"/>
    </row>
    <row r="245" spans="1:1" ht="14.25" customHeight="1">
      <c r="A245" s="449"/>
    </row>
    <row r="246" spans="1:1" ht="14.25" customHeight="1">
      <c r="A246" s="449"/>
    </row>
    <row r="247" spans="1:1" ht="14.25" customHeight="1">
      <c r="A247" s="449"/>
    </row>
    <row r="248" spans="1:1" ht="14.25" customHeight="1">
      <c r="A248" s="449"/>
    </row>
    <row r="249" spans="1:1" ht="14.25" customHeight="1">
      <c r="A249" s="449"/>
    </row>
    <row r="250" spans="1:1" ht="14.25" customHeight="1">
      <c r="A250" s="449"/>
    </row>
    <row r="251" spans="1:1" ht="14.25" customHeight="1">
      <c r="A251" s="449"/>
    </row>
    <row r="252" spans="1:1" ht="14.25" customHeight="1">
      <c r="A252" s="449"/>
    </row>
    <row r="253" spans="1:1" ht="14.25" customHeight="1">
      <c r="A253" s="449"/>
    </row>
    <row r="254" spans="1:1" ht="14.25" customHeight="1">
      <c r="A254" s="449"/>
    </row>
    <row r="255" spans="1:1" ht="14.25" customHeight="1">
      <c r="A255" s="449"/>
    </row>
    <row r="256" spans="1:1" ht="14.25" customHeight="1">
      <c r="A256" s="449"/>
    </row>
    <row r="257" spans="1:1" ht="14.25" customHeight="1">
      <c r="A257" s="449"/>
    </row>
    <row r="258" spans="1:1" ht="14.25" customHeight="1">
      <c r="A258" s="449"/>
    </row>
    <row r="259" spans="1:1" ht="14.25" customHeight="1">
      <c r="A259" s="449"/>
    </row>
    <row r="260" spans="1:1" ht="14.25" customHeight="1">
      <c r="A260" s="449"/>
    </row>
    <row r="261" spans="1:1" ht="14.25" customHeight="1">
      <c r="A261" s="449"/>
    </row>
    <row r="262" spans="1:1" ht="14.25" customHeight="1">
      <c r="A262" s="449"/>
    </row>
    <row r="263" spans="1:1" ht="14.25" customHeight="1">
      <c r="A263" s="449"/>
    </row>
    <row r="264" spans="1:1" ht="14.25" customHeight="1">
      <c r="A264" s="449"/>
    </row>
    <row r="265" spans="1:1" ht="14.25" customHeight="1">
      <c r="A265" s="449"/>
    </row>
    <row r="266" spans="1:1" ht="14.25" customHeight="1">
      <c r="A266" s="449"/>
    </row>
    <row r="267" spans="1:1" ht="14.25" customHeight="1">
      <c r="A267" s="449"/>
    </row>
    <row r="268" spans="1:1" ht="14.25" customHeight="1">
      <c r="A268" s="449"/>
    </row>
    <row r="269" spans="1:1" ht="14.25" customHeight="1">
      <c r="A269" s="449"/>
    </row>
    <row r="270" spans="1:1" ht="14.25" customHeight="1">
      <c r="A270" s="449"/>
    </row>
    <row r="271" spans="1:1" ht="14.25" customHeight="1">
      <c r="A271" s="449"/>
    </row>
    <row r="272" spans="1:1" ht="14.25" customHeight="1">
      <c r="A272" s="449"/>
    </row>
    <row r="273" spans="1:1" ht="14.25" customHeight="1">
      <c r="A273" s="449"/>
    </row>
    <row r="274" spans="1:1" ht="14.25" customHeight="1">
      <c r="A274" s="449"/>
    </row>
    <row r="275" spans="1:1" ht="14.25" customHeight="1">
      <c r="A275" s="449"/>
    </row>
    <row r="276" spans="1:1" ht="14.25" customHeight="1">
      <c r="A276" s="449"/>
    </row>
    <row r="277" spans="1:1" ht="14.25" customHeight="1">
      <c r="A277" s="449"/>
    </row>
    <row r="278" spans="1:1" ht="14.25" customHeight="1">
      <c r="A278" s="449"/>
    </row>
    <row r="279" spans="1:1" ht="14.25" customHeight="1">
      <c r="A279" s="449"/>
    </row>
    <row r="280" spans="1:1" ht="14.25" customHeight="1">
      <c r="A280" s="449"/>
    </row>
    <row r="281" spans="1:1" ht="14.25" customHeight="1">
      <c r="A281" s="449"/>
    </row>
    <row r="282" spans="1:1" ht="14.25" customHeight="1">
      <c r="A282" s="449"/>
    </row>
    <row r="283" spans="1:1" ht="14.25" customHeight="1">
      <c r="A283" s="449"/>
    </row>
    <row r="284" spans="1:1" ht="14.25" customHeight="1">
      <c r="A284" s="449"/>
    </row>
    <row r="285" spans="1:1" ht="14.25" customHeight="1">
      <c r="A285" s="449"/>
    </row>
    <row r="286" spans="1:1" ht="14.25" customHeight="1">
      <c r="A286" s="449"/>
    </row>
    <row r="287" spans="1:1" ht="14.25" customHeight="1">
      <c r="A287" s="449"/>
    </row>
    <row r="288" spans="1:1" ht="14.25" customHeight="1">
      <c r="A288" s="449"/>
    </row>
    <row r="289" spans="1:1" ht="14.25" customHeight="1">
      <c r="A289" s="449"/>
    </row>
    <row r="290" spans="1:1" ht="14.25" customHeight="1">
      <c r="A290" s="449"/>
    </row>
    <row r="291" spans="1:1" ht="14.25" customHeight="1">
      <c r="A291" s="449"/>
    </row>
    <row r="292" spans="1:1" ht="14.25" customHeight="1">
      <c r="A292" s="449"/>
    </row>
    <row r="293" spans="1:1" ht="14.25" customHeight="1">
      <c r="A293" s="449"/>
    </row>
    <row r="294" spans="1:1" ht="14.25" customHeight="1">
      <c r="A294" s="449"/>
    </row>
    <row r="295" spans="1:1" ht="14.25" customHeight="1">
      <c r="A295" s="449"/>
    </row>
    <row r="296" spans="1:1" ht="14.25" customHeight="1">
      <c r="A296" s="449"/>
    </row>
    <row r="297" spans="1:1" ht="14.25" customHeight="1">
      <c r="A297" s="449"/>
    </row>
    <row r="298" spans="1:1" ht="14.25" customHeight="1">
      <c r="A298" s="449"/>
    </row>
    <row r="299" spans="1:1" ht="14.25" customHeight="1">
      <c r="A299" s="449"/>
    </row>
    <row r="300" spans="1:1" ht="14.25" customHeight="1">
      <c r="A300" s="449"/>
    </row>
    <row r="301" spans="1:1" ht="14.25" customHeight="1">
      <c r="A301" s="449"/>
    </row>
    <row r="302" spans="1:1" ht="14.25" customHeight="1">
      <c r="A302" s="449"/>
    </row>
    <row r="303" spans="1:1" ht="14.25" customHeight="1">
      <c r="A303" s="449"/>
    </row>
    <row r="304" spans="1:1" ht="14.25" customHeight="1">
      <c r="A304" s="449"/>
    </row>
    <row r="305" spans="1:1" ht="14.25" customHeight="1">
      <c r="A305" s="449"/>
    </row>
    <row r="306" spans="1:1" ht="14.25" customHeight="1">
      <c r="A306" s="449"/>
    </row>
    <row r="307" spans="1:1" ht="14.25" customHeight="1">
      <c r="A307" s="449"/>
    </row>
    <row r="308" spans="1:1" ht="14.25" customHeight="1">
      <c r="A308" s="449"/>
    </row>
    <row r="309" spans="1:1" ht="14.25" customHeight="1">
      <c r="A309" s="449"/>
    </row>
    <row r="310" spans="1:1" ht="14.25" customHeight="1">
      <c r="A310" s="449"/>
    </row>
    <row r="311" spans="1:1" ht="14.25" customHeight="1">
      <c r="A311" s="449"/>
    </row>
    <row r="312" spans="1:1" ht="14.25" customHeight="1">
      <c r="A312" s="449"/>
    </row>
    <row r="313" spans="1:1" ht="14.25" customHeight="1">
      <c r="A313" s="449"/>
    </row>
    <row r="314" spans="1:1" ht="14.25" customHeight="1">
      <c r="A314" s="449"/>
    </row>
    <row r="315" spans="1:1" ht="14.25" customHeight="1">
      <c r="A315" s="449"/>
    </row>
    <row r="316" spans="1:1" ht="14.25" customHeight="1">
      <c r="A316" s="449"/>
    </row>
    <row r="317" spans="1:1" ht="14.25" customHeight="1">
      <c r="A317" s="449"/>
    </row>
    <row r="318" spans="1:1" ht="14.25" customHeight="1">
      <c r="A318" s="449"/>
    </row>
    <row r="319" spans="1:1" ht="14.25" customHeight="1">
      <c r="A319" s="449"/>
    </row>
    <row r="320" spans="1:1" ht="14.25" customHeight="1">
      <c r="A320" s="449"/>
    </row>
    <row r="321" spans="1:1" ht="14.25" customHeight="1">
      <c r="A321" s="449"/>
    </row>
    <row r="322" spans="1:1" ht="14.25" customHeight="1">
      <c r="A322" s="449"/>
    </row>
    <row r="323" spans="1:1" ht="14.25" customHeight="1">
      <c r="A323" s="449"/>
    </row>
    <row r="324" spans="1:1" ht="14.25" customHeight="1">
      <c r="A324" s="449"/>
    </row>
    <row r="325" spans="1:1" ht="14.25" customHeight="1">
      <c r="A325" s="449"/>
    </row>
    <row r="326" spans="1:1" ht="14.25" customHeight="1">
      <c r="A326" s="449"/>
    </row>
    <row r="327" spans="1:1" ht="14.25" customHeight="1">
      <c r="A327" s="449"/>
    </row>
    <row r="328" spans="1:1" ht="14.25" customHeight="1">
      <c r="A328" s="449"/>
    </row>
    <row r="329" spans="1:1" ht="14.25" customHeight="1">
      <c r="A329" s="449"/>
    </row>
    <row r="330" spans="1:1" ht="14.25" customHeight="1">
      <c r="A330" s="449"/>
    </row>
    <row r="331" spans="1:1" ht="14.25" customHeight="1">
      <c r="A331" s="449"/>
    </row>
    <row r="332" spans="1:1" ht="14.25" customHeight="1">
      <c r="A332" s="449"/>
    </row>
    <row r="333" spans="1:1" ht="14.25" customHeight="1">
      <c r="A333" s="449"/>
    </row>
    <row r="334" spans="1:1" ht="14.25" customHeight="1">
      <c r="A334" s="449"/>
    </row>
    <row r="335" spans="1:1" ht="14.25" customHeight="1">
      <c r="A335" s="449"/>
    </row>
    <row r="336" spans="1:1" ht="14.25" customHeight="1">
      <c r="A336" s="449"/>
    </row>
    <row r="337" spans="1:1" ht="14.25" customHeight="1">
      <c r="A337" s="449"/>
    </row>
    <row r="338" spans="1:1" ht="14.25" customHeight="1">
      <c r="A338" s="449"/>
    </row>
    <row r="339" spans="1:1" ht="14.25" customHeight="1">
      <c r="A339" s="449"/>
    </row>
    <row r="340" spans="1:1" ht="14.25" customHeight="1">
      <c r="A340" s="449"/>
    </row>
    <row r="341" spans="1:1" ht="14.25" customHeight="1">
      <c r="A341" s="449"/>
    </row>
    <row r="342" spans="1:1" ht="14.25" customHeight="1">
      <c r="A342" s="449"/>
    </row>
    <row r="343" spans="1:1" ht="14.25" customHeight="1">
      <c r="A343" s="449"/>
    </row>
    <row r="344" spans="1:1" ht="14.25" customHeight="1">
      <c r="A344" s="449"/>
    </row>
    <row r="345" spans="1:1" ht="14.25" customHeight="1">
      <c r="A345" s="449"/>
    </row>
    <row r="346" spans="1:1" ht="14.25" customHeight="1">
      <c r="A346" s="449"/>
    </row>
    <row r="347" spans="1:1" ht="14.25" customHeight="1">
      <c r="A347" s="449"/>
    </row>
    <row r="348" spans="1:1" ht="14.25" customHeight="1">
      <c r="A348" s="449"/>
    </row>
    <row r="349" spans="1:1" ht="14.25" customHeight="1">
      <c r="A349" s="449"/>
    </row>
    <row r="350" spans="1:1" ht="14.25" customHeight="1">
      <c r="A350" s="449"/>
    </row>
    <row r="351" spans="1:1" ht="14.25" customHeight="1">
      <c r="A351" s="449"/>
    </row>
    <row r="352" spans="1:1" ht="14.25" customHeight="1">
      <c r="A352" s="449"/>
    </row>
    <row r="353" spans="1:1" ht="14.25" customHeight="1">
      <c r="A353" s="449"/>
    </row>
    <row r="354" spans="1:1" ht="14.25" customHeight="1">
      <c r="A354" s="449"/>
    </row>
    <row r="355" spans="1:1" ht="14.25" customHeight="1">
      <c r="A355" s="449"/>
    </row>
    <row r="356" spans="1:1" ht="14.25" customHeight="1">
      <c r="A356" s="449"/>
    </row>
    <row r="357" spans="1:1" ht="14.25" customHeight="1">
      <c r="A357" s="449"/>
    </row>
    <row r="358" spans="1:1" ht="14.25" customHeight="1">
      <c r="A358" s="449"/>
    </row>
    <row r="359" spans="1:1" ht="14.25" customHeight="1">
      <c r="A359" s="449"/>
    </row>
    <row r="360" spans="1:1" ht="14.25" customHeight="1">
      <c r="A360" s="449"/>
    </row>
    <row r="361" spans="1:1" ht="14.25" customHeight="1">
      <c r="A361" s="449"/>
    </row>
    <row r="362" spans="1:1" ht="14.25" customHeight="1">
      <c r="A362" s="449"/>
    </row>
    <row r="363" spans="1:1" ht="14.25" customHeight="1">
      <c r="A363" s="449"/>
    </row>
    <row r="364" spans="1:1" ht="14.25" customHeight="1">
      <c r="A364" s="449"/>
    </row>
    <row r="365" spans="1:1" ht="14.25" customHeight="1">
      <c r="A365" s="449"/>
    </row>
    <row r="366" spans="1:1" ht="14.25" customHeight="1">
      <c r="A366" s="449"/>
    </row>
    <row r="367" spans="1:1" ht="14.25" customHeight="1">
      <c r="A367" s="449"/>
    </row>
    <row r="368" spans="1:1" ht="14.25" customHeight="1">
      <c r="A368" s="449"/>
    </row>
    <row r="369" spans="1:1" ht="14.25" customHeight="1">
      <c r="A369" s="449"/>
    </row>
    <row r="370" spans="1:1" ht="14.25" customHeight="1">
      <c r="A370" s="449"/>
    </row>
    <row r="371" spans="1:1" ht="14.25" customHeight="1">
      <c r="A371" s="449"/>
    </row>
    <row r="372" spans="1:1" ht="14.25" customHeight="1">
      <c r="A372" s="449"/>
    </row>
    <row r="373" spans="1:1" ht="14.25" customHeight="1">
      <c r="A373" s="449"/>
    </row>
    <row r="374" spans="1:1" ht="14.25" customHeight="1">
      <c r="A374" s="449"/>
    </row>
    <row r="375" spans="1:1" ht="14.25" customHeight="1">
      <c r="A375" s="449"/>
    </row>
    <row r="376" spans="1:1" ht="14.25" customHeight="1">
      <c r="A376" s="449"/>
    </row>
    <row r="377" spans="1:1" ht="14.25" customHeight="1">
      <c r="A377" s="449"/>
    </row>
    <row r="378" spans="1:1" ht="14.25" customHeight="1">
      <c r="A378" s="449"/>
    </row>
    <row r="379" spans="1:1" ht="14.25" customHeight="1">
      <c r="A379" s="449"/>
    </row>
    <row r="380" spans="1:1" ht="14.25" customHeight="1">
      <c r="A380" s="449"/>
    </row>
    <row r="381" spans="1:1" ht="14.25" customHeight="1">
      <c r="A381" s="449"/>
    </row>
    <row r="382" spans="1:1" ht="14.25" customHeight="1">
      <c r="A382" s="449"/>
    </row>
    <row r="383" spans="1:1" ht="14.25" customHeight="1">
      <c r="A383" s="449"/>
    </row>
    <row r="384" spans="1:1" ht="14.25" customHeight="1">
      <c r="A384" s="449"/>
    </row>
    <row r="385" spans="1:1" ht="14.25" customHeight="1">
      <c r="A385" s="449"/>
    </row>
    <row r="386" spans="1:1" ht="14.25" customHeight="1">
      <c r="A386" s="449"/>
    </row>
    <row r="387" spans="1:1" ht="14.25" customHeight="1">
      <c r="A387" s="449"/>
    </row>
    <row r="388" spans="1:1" ht="14.25" customHeight="1">
      <c r="A388" s="449"/>
    </row>
    <row r="389" spans="1:1" ht="14.25" customHeight="1">
      <c r="A389" s="449"/>
    </row>
    <row r="390" spans="1:1" ht="14.25" customHeight="1">
      <c r="A390" s="449"/>
    </row>
    <row r="391" spans="1:1" ht="14.25" customHeight="1">
      <c r="A391" s="449"/>
    </row>
    <row r="392" spans="1:1" ht="14.25" customHeight="1">
      <c r="A392" s="449"/>
    </row>
    <row r="393" spans="1:1" ht="14.25" customHeight="1">
      <c r="A393" s="449"/>
    </row>
    <row r="394" spans="1:1" ht="14.25" customHeight="1">
      <c r="A394" s="449"/>
    </row>
    <row r="395" spans="1:1" ht="14.25" customHeight="1">
      <c r="A395" s="449"/>
    </row>
    <row r="396" spans="1:1" ht="14.25" customHeight="1">
      <c r="A396" s="449"/>
    </row>
    <row r="397" spans="1:1" ht="14.25" customHeight="1">
      <c r="A397" s="449"/>
    </row>
    <row r="398" spans="1:1" ht="14.25" customHeight="1">
      <c r="A398" s="449"/>
    </row>
    <row r="399" spans="1:1" ht="14.25" customHeight="1">
      <c r="A399" s="449"/>
    </row>
    <row r="400" spans="1:1" ht="14.25" customHeight="1">
      <c r="A400" s="449"/>
    </row>
    <row r="401" spans="1:1" ht="14.25" customHeight="1">
      <c r="A401" s="449"/>
    </row>
    <row r="402" spans="1:1" ht="14.25" customHeight="1">
      <c r="A402" s="449"/>
    </row>
    <row r="403" spans="1:1" ht="14.25" customHeight="1">
      <c r="A403" s="449"/>
    </row>
    <row r="404" spans="1:1" ht="14.25" customHeight="1">
      <c r="A404" s="449"/>
    </row>
    <row r="405" spans="1:1" ht="14.25" customHeight="1">
      <c r="A405" s="449"/>
    </row>
    <row r="406" spans="1:1" ht="14.25" customHeight="1">
      <c r="A406" s="449"/>
    </row>
    <row r="407" spans="1:1" ht="14.25" customHeight="1">
      <c r="A407" s="449"/>
    </row>
    <row r="408" spans="1:1" ht="14.25" customHeight="1">
      <c r="A408" s="449"/>
    </row>
    <row r="409" spans="1:1" ht="14.25" customHeight="1">
      <c r="A409" s="449"/>
    </row>
    <row r="410" spans="1:1" ht="14.25" customHeight="1">
      <c r="A410" s="449"/>
    </row>
    <row r="411" spans="1:1" ht="14.25" customHeight="1">
      <c r="A411" s="449"/>
    </row>
    <row r="412" spans="1:1" ht="14.25" customHeight="1">
      <c r="A412" s="449"/>
    </row>
    <row r="413" spans="1:1" ht="14.25" customHeight="1">
      <c r="A413" s="449"/>
    </row>
    <row r="414" spans="1:1" ht="14.25" customHeight="1">
      <c r="A414" s="449"/>
    </row>
    <row r="415" spans="1:1" ht="14.25" customHeight="1">
      <c r="A415" s="449"/>
    </row>
    <row r="416" spans="1:1" ht="14.25" customHeight="1">
      <c r="A416" s="449"/>
    </row>
    <row r="417" spans="1:1" ht="14.25" customHeight="1">
      <c r="A417" s="449"/>
    </row>
    <row r="418" spans="1:1" ht="14.25" customHeight="1">
      <c r="A418" s="449"/>
    </row>
    <row r="419" spans="1:1" ht="14.25" customHeight="1">
      <c r="A419" s="449"/>
    </row>
    <row r="420" spans="1:1" ht="14.25" customHeight="1">
      <c r="A420" s="449"/>
    </row>
    <row r="421" spans="1:1" ht="14.25" customHeight="1">
      <c r="A421" s="449"/>
    </row>
    <row r="422" spans="1:1" ht="14.25" customHeight="1">
      <c r="A422" s="449"/>
    </row>
    <row r="423" spans="1:1" ht="14.25" customHeight="1">
      <c r="A423" s="449"/>
    </row>
    <row r="424" spans="1:1" ht="14.25" customHeight="1">
      <c r="A424" s="449"/>
    </row>
    <row r="425" spans="1:1" ht="14.25" customHeight="1">
      <c r="A425" s="449"/>
    </row>
    <row r="426" spans="1:1" ht="14.25" customHeight="1">
      <c r="A426" s="449"/>
    </row>
    <row r="427" spans="1:1" ht="14.25" customHeight="1">
      <c r="A427" s="449"/>
    </row>
    <row r="428" spans="1:1" ht="14.25" customHeight="1">
      <c r="A428" s="449"/>
    </row>
    <row r="429" spans="1:1" ht="14.25" customHeight="1">
      <c r="A429" s="449"/>
    </row>
    <row r="430" spans="1:1" ht="14.25" customHeight="1">
      <c r="A430" s="449"/>
    </row>
    <row r="431" spans="1:1" ht="14.25" customHeight="1">
      <c r="A431" s="449"/>
    </row>
    <row r="432" spans="1:1" ht="14.25" customHeight="1">
      <c r="A432" s="449"/>
    </row>
    <row r="433" spans="1:1" ht="14.25" customHeight="1">
      <c r="A433" s="449"/>
    </row>
    <row r="434" spans="1:1" ht="14.25" customHeight="1">
      <c r="A434" s="449"/>
    </row>
    <row r="435" spans="1:1" ht="14.25" customHeight="1">
      <c r="A435" s="449"/>
    </row>
    <row r="436" spans="1:1" ht="14.25" customHeight="1">
      <c r="A436" s="449"/>
    </row>
    <row r="437" spans="1:1" ht="14.25" customHeight="1">
      <c r="A437" s="449"/>
    </row>
    <row r="438" spans="1:1" ht="14.25" customHeight="1">
      <c r="A438" s="449"/>
    </row>
    <row r="439" spans="1:1" ht="14.25" customHeight="1">
      <c r="A439" s="449"/>
    </row>
    <row r="440" spans="1:1" ht="14.25" customHeight="1">
      <c r="A440" s="449"/>
    </row>
    <row r="441" spans="1:1" ht="14.25" customHeight="1">
      <c r="A441" s="449"/>
    </row>
    <row r="442" spans="1:1" ht="14.25" customHeight="1">
      <c r="A442" s="449"/>
    </row>
    <row r="443" spans="1:1" ht="14.25" customHeight="1">
      <c r="A443" s="449"/>
    </row>
    <row r="444" spans="1:1" ht="14.25" customHeight="1">
      <c r="A444" s="449"/>
    </row>
    <row r="445" spans="1:1" ht="14.25" customHeight="1">
      <c r="A445" s="449"/>
    </row>
    <row r="446" spans="1:1" ht="14.25" customHeight="1">
      <c r="A446" s="449"/>
    </row>
    <row r="447" spans="1:1" ht="14.25" customHeight="1">
      <c r="A447" s="449"/>
    </row>
    <row r="448" spans="1:1" ht="14.25" customHeight="1">
      <c r="A448" s="449"/>
    </row>
    <row r="449" spans="1:1" ht="14.25" customHeight="1">
      <c r="A449" s="449"/>
    </row>
    <row r="450" spans="1:1" ht="14.25" customHeight="1">
      <c r="A450" s="449"/>
    </row>
    <row r="451" spans="1:1" ht="14.25" customHeight="1">
      <c r="A451" s="449"/>
    </row>
    <row r="452" spans="1:1" ht="14.25" customHeight="1">
      <c r="A452" s="449"/>
    </row>
    <row r="453" spans="1:1" ht="14.25" customHeight="1">
      <c r="A453" s="449"/>
    </row>
    <row r="454" spans="1:1" ht="14.25" customHeight="1">
      <c r="A454" s="449"/>
    </row>
    <row r="455" spans="1:1" ht="14.25" customHeight="1">
      <c r="A455" s="449"/>
    </row>
    <row r="456" spans="1:1" ht="14.25" customHeight="1">
      <c r="A456" s="449"/>
    </row>
    <row r="457" spans="1:1" ht="14.25" customHeight="1">
      <c r="A457" s="449"/>
    </row>
    <row r="458" spans="1:1" ht="14.25" customHeight="1">
      <c r="A458" s="449"/>
    </row>
    <row r="459" spans="1:1" ht="14.25" customHeight="1">
      <c r="A459" s="449"/>
    </row>
    <row r="460" spans="1:1" ht="14.25" customHeight="1">
      <c r="A460" s="449"/>
    </row>
    <row r="461" spans="1:1" ht="14.25" customHeight="1">
      <c r="A461" s="449"/>
    </row>
    <row r="462" spans="1:1" ht="14.25" customHeight="1">
      <c r="A462" s="449"/>
    </row>
    <row r="463" spans="1:1" ht="14.25" customHeight="1">
      <c r="A463" s="449"/>
    </row>
    <row r="464" spans="1:1" ht="14.25" customHeight="1">
      <c r="A464" s="449"/>
    </row>
    <row r="465" spans="1:1" ht="14.25" customHeight="1">
      <c r="A465" s="449"/>
    </row>
    <row r="466" spans="1:1" ht="14.25" customHeight="1">
      <c r="A466" s="449"/>
    </row>
    <row r="467" spans="1:1" ht="14.25" customHeight="1">
      <c r="A467" s="449"/>
    </row>
    <row r="468" spans="1:1" ht="14.25" customHeight="1">
      <c r="A468" s="449"/>
    </row>
    <row r="469" spans="1:1" ht="14.25" customHeight="1">
      <c r="A469" s="449"/>
    </row>
    <row r="470" spans="1:1" ht="14.25" customHeight="1">
      <c r="A470" s="449"/>
    </row>
    <row r="471" spans="1:1" ht="14.25" customHeight="1">
      <c r="A471" s="449"/>
    </row>
    <row r="472" spans="1:1" ht="14.25" customHeight="1">
      <c r="A472" s="449"/>
    </row>
    <row r="473" spans="1:1" ht="14.25" customHeight="1">
      <c r="A473" s="449"/>
    </row>
    <row r="474" spans="1:1" ht="14.25" customHeight="1">
      <c r="A474" s="449"/>
    </row>
    <row r="475" spans="1:1" ht="14.25" customHeight="1">
      <c r="A475" s="449"/>
    </row>
    <row r="476" spans="1:1" ht="14.25" customHeight="1">
      <c r="A476" s="449"/>
    </row>
    <row r="477" spans="1:1" ht="14.25" customHeight="1">
      <c r="A477" s="449"/>
    </row>
    <row r="478" spans="1:1" ht="14.25" customHeight="1">
      <c r="A478" s="449"/>
    </row>
    <row r="479" spans="1:1" ht="14.25" customHeight="1">
      <c r="A479" s="449"/>
    </row>
    <row r="480" spans="1:1" ht="14.25" customHeight="1">
      <c r="A480" s="449"/>
    </row>
    <row r="481" spans="1:1" ht="14.25" customHeight="1">
      <c r="A481" s="449"/>
    </row>
    <row r="482" spans="1:1" ht="14.25" customHeight="1">
      <c r="A482" s="449"/>
    </row>
    <row r="483" spans="1:1" ht="14.25" customHeight="1">
      <c r="A483" s="449"/>
    </row>
    <row r="484" spans="1:1" ht="14.25" customHeight="1">
      <c r="A484" s="449"/>
    </row>
    <row r="485" spans="1:1" ht="14.25" customHeight="1">
      <c r="A485" s="449"/>
    </row>
    <row r="486" spans="1:1" ht="14.25" customHeight="1">
      <c r="A486" s="449"/>
    </row>
    <row r="487" spans="1:1" ht="14.25" customHeight="1">
      <c r="A487" s="449"/>
    </row>
    <row r="488" spans="1:1" ht="14.25" customHeight="1">
      <c r="A488" s="449"/>
    </row>
    <row r="489" spans="1:1" ht="14.25" customHeight="1">
      <c r="A489" s="449"/>
    </row>
    <row r="490" spans="1:1" ht="14.25" customHeight="1">
      <c r="A490" s="449"/>
    </row>
    <row r="491" spans="1:1" ht="14.25" customHeight="1">
      <c r="A491" s="449"/>
    </row>
    <row r="492" spans="1:1" ht="14.25" customHeight="1">
      <c r="A492" s="449"/>
    </row>
    <row r="493" spans="1:1" ht="14.25" customHeight="1">
      <c r="A493" s="449"/>
    </row>
    <row r="494" spans="1:1" ht="14.25" customHeight="1">
      <c r="A494" s="449"/>
    </row>
    <row r="495" spans="1:1" ht="14.25" customHeight="1">
      <c r="A495" s="449"/>
    </row>
    <row r="496" spans="1:1" ht="14.25" customHeight="1">
      <c r="A496" s="449"/>
    </row>
    <row r="497" spans="1:1" ht="14.25" customHeight="1">
      <c r="A497" s="449"/>
    </row>
    <row r="498" spans="1:1" ht="14.25" customHeight="1">
      <c r="A498" s="449"/>
    </row>
    <row r="499" spans="1:1" ht="14.25" customHeight="1">
      <c r="A499" s="449"/>
    </row>
    <row r="500" spans="1:1" ht="14.25" customHeight="1">
      <c r="A500" s="449"/>
    </row>
    <row r="501" spans="1:1" ht="14.25" customHeight="1">
      <c r="A501" s="449"/>
    </row>
    <row r="502" spans="1:1" ht="14.25" customHeight="1">
      <c r="A502" s="449"/>
    </row>
    <row r="503" spans="1:1" ht="14.25" customHeight="1">
      <c r="A503" s="449"/>
    </row>
    <row r="504" spans="1:1" ht="14.25" customHeight="1">
      <c r="A504" s="449"/>
    </row>
    <row r="505" spans="1:1" ht="14.25" customHeight="1">
      <c r="A505" s="449"/>
    </row>
    <row r="506" spans="1:1" ht="14.25" customHeight="1">
      <c r="A506" s="449"/>
    </row>
    <row r="507" spans="1:1" ht="14.25" customHeight="1">
      <c r="A507" s="449"/>
    </row>
    <row r="508" spans="1:1" ht="14.25" customHeight="1">
      <c r="A508" s="449"/>
    </row>
    <row r="509" spans="1:1" ht="14.25" customHeight="1">
      <c r="A509" s="449"/>
    </row>
    <row r="510" spans="1:1" ht="14.25" customHeight="1">
      <c r="A510" s="449"/>
    </row>
    <row r="511" spans="1:1" ht="14.25" customHeight="1">
      <c r="A511" s="449"/>
    </row>
    <row r="512" spans="1:1" ht="14.25" customHeight="1">
      <c r="A512" s="449"/>
    </row>
    <row r="513" spans="1:1" ht="14.25" customHeight="1">
      <c r="A513" s="449"/>
    </row>
    <row r="514" spans="1:1" ht="14.25" customHeight="1">
      <c r="A514" s="449"/>
    </row>
    <row r="515" spans="1:1" ht="14.25" customHeight="1">
      <c r="A515" s="449"/>
    </row>
    <row r="516" spans="1:1" ht="14.25" customHeight="1">
      <c r="A516" s="449"/>
    </row>
    <row r="517" spans="1:1" ht="14.25" customHeight="1">
      <c r="A517" s="449"/>
    </row>
    <row r="518" spans="1:1" ht="14.25" customHeight="1">
      <c r="A518" s="449"/>
    </row>
    <row r="519" spans="1:1" ht="14.25" customHeight="1">
      <c r="A519" s="449"/>
    </row>
    <row r="520" spans="1:1" ht="14.25" customHeight="1">
      <c r="A520" s="449"/>
    </row>
    <row r="521" spans="1:1" ht="14.25" customHeight="1">
      <c r="A521" s="449"/>
    </row>
    <row r="522" spans="1:1" ht="14.25" customHeight="1">
      <c r="A522" s="449"/>
    </row>
    <row r="523" spans="1:1" ht="14.25" customHeight="1">
      <c r="A523" s="449"/>
    </row>
    <row r="524" spans="1:1" ht="14.25" customHeight="1">
      <c r="A524" s="449"/>
    </row>
    <row r="525" spans="1:1" ht="14.25" customHeight="1">
      <c r="A525" s="449"/>
    </row>
    <row r="526" spans="1:1" ht="14.25" customHeight="1">
      <c r="A526" s="449"/>
    </row>
    <row r="527" spans="1:1" ht="14.25" customHeight="1">
      <c r="A527" s="449"/>
    </row>
    <row r="528" spans="1:1" ht="14.25" customHeight="1">
      <c r="A528" s="449"/>
    </row>
    <row r="529" spans="1:1" ht="14.25" customHeight="1">
      <c r="A529" s="449"/>
    </row>
    <row r="530" spans="1:1" ht="14.25" customHeight="1">
      <c r="A530" s="449"/>
    </row>
    <row r="531" spans="1:1" ht="14.25" customHeight="1">
      <c r="A531" s="449"/>
    </row>
    <row r="532" spans="1:1" ht="14.25" customHeight="1">
      <c r="A532" s="449"/>
    </row>
    <row r="533" spans="1:1" ht="14.25" customHeight="1">
      <c r="A533" s="449"/>
    </row>
    <row r="534" spans="1:1" ht="14.25" customHeight="1">
      <c r="A534" s="449"/>
    </row>
    <row r="535" spans="1:1" ht="14.25" customHeight="1">
      <c r="A535" s="449"/>
    </row>
    <row r="536" spans="1:1" ht="14.25" customHeight="1">
      <c r="A536" s="449"/>
    </row>
    <row r="537" spans="1:1" ht="14.25" customHeight="1">
      <c r="A537" s="449"/>
    </row>
    <row r="538" spans="1:1" ht="14.25" customHeight="1">
      <c r="A538" s="449"/>
    </row>
    <row r="539" spans="1:1" ht="14.25" customHeight="1">
      <c r="A539" s="449"/>
    </row>
    <row r="540" spans="1:1" ht="14.25" customHeight="1">
      <c r="A540" s="449"/>
    </row>
    <row r="541" spans="1:1" ht="14.25" customHeight="1">
      <c r="A541" s="449"/>
    </row>
    <row r="542" spans="1:1" ht="14.25" customHeight="1">
      <c r="A542" s="449"/>
    </row>
    <row r="543" spans="1:1" ht="14.25" customHeight="1">
      <c r="A543" s="449"/>
    </row>
    <row r="544" spans="1:1" ht="14.25" customHeight="1">
      <c r="A544" s="449"/>
    </row>
    <row r="545" spans="1:1" ht="14.25" customHeight="1">
      <c r="A545" s="449"/>
    </row>
    <row r="546" spans="1:1" ht="14.25" customHeight="1">
      <c r="A546" s="449"/>
    </row>
    <row r="547" spans="1:1" ht="14.25" customHeight="1">
      <c r="A547" s="449"/>
    </row>
    <row r="548" spans="1:1" ht="14.25" customHeight="1">
      <c r="A548" s="449"/>
    </row>
    <row r="549" spans="1:1" ht="14.25" customHeight="1">
      <c r="A549" s="449"/>
    </row>
    <row r="550" spans="1:1" ht="14.25" customHeight="1">
      <c r="A550" s="449"/>
    </row>
    <row r="551" spans="1:1" ht="14.25" customHeight="1">
      <c r="A551" s="449"/>
    </row>
    <row r="552" spans="1:1" ht="14.25" customHeight="1">
      <c r="A552" s="449"/>
    </row>
    <row r="553" spans="1:1" ht="14.25" customHeight="1">
      <c r="A553" s="449"/>
    </row>
    <row r="554" spans="1:1" ht="14.25" customHeight="1">
      <c r="A554" s="449"/>
    </row>
    <row r="555" spans="1:1" ht="14.25" customHeight="1">
      <c r="A555" s="449"/>
    </row>
    <row r="556" spans="1:1" ht="14.25" customHeight="1">
      <c r="A556" s="449"/>
    </row>
    <row r="557" spans="1:1" ht="14.25" customHeight="1">
      <c r="A557" s="449"/>
    </row>
    <row r="558" spans="1:1" ht="14.25" customHeight="1">
      <c r="A558" s="449"/>
    </row>
    <row r="559" spans="1:1" ht="14.25" customHeight="1">
      <c r="A559" s="449"/>
    </row>
    <row r="560" spans="1:1" ht="14.25" customHeight="1">
      <c r="A560" s="449"/>
    </row>
    <row r="561" spans="1:1" ht="14.25" customHeight="1">
      <c r="A561" s="449"/>
    </row>
    <row r="562" spans="1:1" ht="14.25" customHeight="1">
      <c r="A562" s="449"/>
    </row>
    <row r="563" spans="1:1" ht="14.25" customHeight="1">
      <c r="A563" s="449"/>
    </row>
    <row r="564" spans="1:1" ht="14.25" customHeight="1">
      <c r="A564" s="449"/>
    </row>
    <row r="565" spans="1:1" ht="14.25" customHeight="1">
      <c r="A565" s="449"/>
    </row>
    <row r="566" spans="1:1" ht="14.25" customHeight="1">
      <c r="A566" s="449"/>
    </row>
    <row r="567" spans="1:1" ht="14.25" customHeight="1">
      <c r="A567" s="449"/>
    </row>
    <row r="568" spans="1:1" ht="14.25" customHeight="1">
      <c r="A568" s="449"/>
    </row>
    <row r="569" spans="1:1" ht="14.25" customHeight="1">
      <c r="A569" s="449"/>
    </row>
    <row r="570" spans="1:1" ht="14.25" customHeight="1">
      <c r="A570" s="449"/>
    </row>
    <row r="571" spans="1:1" ht="14.25" customHeight="1">
      <c r="A571" s="449"/>
    </row>
    <row r="572" spans="1:1" ht="14.25" customHeight="1">
      <c r="A572" s="449"/>
    </row>
    <row r="573" spans="1:1" ht="14.25" customHeight="1">
      <c r="A573" s="449"/>
    </row>
    <row r="574" spans="1:1" ht="14.25" customHeight="1">
      <c r="A574" s="449"/>
    </row>
    <row r="575" spans="1:1" ht="14.25" customHeight="1">
      <c r="A575" s="449"/>
    </row>
    <row r="576" spans="1:1" ht="14.25" customHeight="1">
      <c r="A576" s="449"/>
    </row>
    <row r="577" spans="1:1" ht="14.25" customHeight="1">
      <c r="A577" s="449"/>
    </row>
    <row r="578" spans="1:1" ht="14.25" customHeight="1">
      <c r="A578" s="449"/>
    </row>
    <row r="579" spans="1:1" ht="14.25" customHeight="1">
      <c r="A579" s="449"/>
    </row>
    <row r="580" spans="1:1" ht="14.25" customHeight="1">
      <c r="A580" s="449"/>
    </row>
    <row r="581" spans="1:1" ht="14.25" customHeight="1">
      <c r="A581" s="449"/>
    </row>
    <row r="582" spans="1:1" ht="14.25" customHeight="1">
      <c r="A582" s="449"/>
    </row>
    <row r="583" spans="1:1" ht="14.25" customHeight="1">
      <c r="A583" s="449"/>
    </row>
    <row r="584" spans="1:1" ht="14.25" customHeight="1">
      <c r="A584" s="449"/>
    </row>
    <row r="585" spans="1:1" ht="14.25" customHeight="1">
      <c r="A585" s="449"/>
    </row>
    <row r="586" spans="1:1" ht="14.25" customHeight="1">
      <c r="A586" s="449"/>
    </row>
    <row r="587" spans="1:1" ht="14.25" customHeight="1">
      <c r="A587" s="449"/>
    </row>
    <row r="588" spans="1:1" ht="14.25" customHeight="1">
      <c r="A588" s="449"/>
    </row>
    <row r="589" spans="1:1" ht="14.25" customHeight="1">
      <c r="A589" s="449"/>
    </row>
    <row r="590" spans="1:1" ht="14.25" customHeight="1">
      <c r="A590" s="449"/>
    </row>
    <row r="591" spans="1:1" ht="14.25" customHeight="1">
      <c r="A591" s="449"/>
    </row>
    <row r="592" spans="1:1" ht="14.25" customHeight="1">
      <c r="A592" s="449"/>
    </row>
    <row r="593" spans="1:1" ht="14.25" customHeight="1">
      <c r="A593" s="449"/>
    </row>
    <row r="594" spans="1:1" ht="14.25" customHeight="1">
      <c r="A594" s="449"/>
    </row>
    <row r="595" spans="1:1" ht="14.25" customHeight="1">
      <c r="A595" s="449"/>
    </row>
    <row r="596" spans="1:1" ht="14.25" customHeight="1">
      <c r="A596" s="449"/>
    </row>
    <row r="597" spans="1:1" ht="14.25" customHeight="1">
      <c r="A597" s="449"/>
    </row>
    <row r="598" spans="1:1" ht="14.25" customHeight="1">
      <c r="A598" s="449"/>
    </row>
    <row r="599" spans="1:1" ht="14.25" customHeight="1">
      <c r="A599" s="449"/>
    </row>
    <row r="600" spans="1:1" ht="14.25" customHeight="1">
      <c r="A600" s="449"/>
    </row>
    <row r="601" spans="1:1" ht="14.25" customHeight="1">
      <c r="A601" s="449"/>
    </row>
    <row r="602" spans="1:1" ht="14.25" customHeight="1">
      <c r="A602" s="449"/>
    </row>
    <row r="603" spans="1:1" ht="14.25" customHeight="1">
      <c r="A603" s="449"/>
    </row>
    <row r="604" spans="1:1" ht="14.25" customHeight="1">
      <c r="A604" s="449"/>
    </row>
    <row r="605" spans="1:1" ht="14.25" customHeight="1">
      <c r="A605" s="449"/>
    </row>
    <row r="606" spans="1:1" ht="14.25" customHeight="1">
      <c r="A606" s="449"/>
    </row>
    <row r="607" spans="1:1" ht="14.25" customHeight="1">
      <c r="A607" s="449"/>
    </row>
    <row r="608" spans="1:1" ht="14.25" customHeight="1">
      <c r="A608" s="449"/>
    </row>
    <row r="609" spans="1:1" ht="14.25" customHeight="1">
      <c r="A609" s="449"/>
    </row>
    <row r="610" spans="1:1" ht="14.25" customHeight="1">
      <c r="A610" s="449"/>
    </row>
    <row r="611" spans="1:1" ht="14.25" customHeight="1">
      <c r="A611" s="449"/>
    </row>
    <row r="612" spans="1:1" ht="14.25" customHeight="1">
      <c r="A612" s="449"/>
    </row>
    <row r="613" spans="1:1" ht="14.25" customHeight="1">
      <c r="A613" s="449"/>
    </row>
    <row r="614" spans="1:1" ht="14.25" customHeight="1">
      <c r="A614" s="449"/>
    </row>
    <row r="615" spans="1:1" ht="14.25" customHeight="1">
      <c r="A615" s="449"/>
    </row>
    <row r="616" spans="1:1" ht="14.25" customHeight="1">
      <c r="A616" s="449"/>
    </row>
    <row r="617" spans="1:1" ht="14.25" customHeight="1">
      <c r="A617" s="449"/>
    </row>
    <row r="618" spans="1:1" ht="14.25" customHeight="1">
      <c r="A618" s="449"/>
    </row>
    <row r="619" spans="1:1" ht="14.25" customHeight="1">
      <c r="A619" s="449"/>
    </row>
    <row r="620" spans="1:1" ht="14.25" customHeight="1">
      <c r="A620" s="449"/>
    </row>
    <row r="621" spans="1:1" ht="14.25" customHeight="1">
      <c r="A621" s="449"/>
    </row>
    <row r="622" spans="1:1" ht="14.25" customHeight="1">
      <c r="A622" s="449"/>
    </row>
    <row r="623" spans="1:1" ht="14.25" customHeight="1">
      <c r="A623" s="449"/>
    </row>
    <row r="624" spans="1:1" ht="14.25" customHeight="1">
      <c r="A624" s="449"/>
    </row>
    <row r="625" spans="1:1" ht="14.25" customHeight="1">
      <c r="A625" s="449"/>
    </row>
    <row r="626" spans="1:1" ht="14.25" customHeight="1">
      <c r="A626" s="449"/>
    </row>
    <row r="627" spans="1:1" ht="14.25" customHeight="1">
      <c r="A627" s="449"/>
    </row>
    <row r="628" spans="1:1" ht="14.25" customHeight="1">
      <c r="A628" s="449"/>
    </row>
    <row r="629" spans="1:1" ht="14.25" customHeight="1">
      <c r="A629" s="449"/>
    </row>
    <row r="630" spans="1:1" ht="14.25" customHeight="1">
      <c r="A630" s="449"/>
    </row>
    <row r="631" spans="1:1" ht="14.25" customHeight="1">
      <c r="A631" s="449"/>
    </row>
    <row r="632" spans="1:1" ht="14.25" customHeight="1">
      <c r="A632" s="449"/>
    </row>
    <row r="633" spans="1:1" ht="14.25" customHeight="1">
      <c r="A633" s="449"/>
    </row>
    <row r="634" spans="1:1" ht="14.25" customHeight="1">
      <c r="A634" s="449"/>
    </row>
    <row r="635" spans="1:1" ht="14.25" customHeight="1">
      <c r="A635" s="449"/>
    </row>
    <row r="636" spans="1:1" ht="14.25" customHeight="1">
      <c r="A636" s="449"/>
    </row>
    <row r="637" spans="1:1" ht="14.25" customHeight="1">
      <c r="A637" s="449"/>
    </row>
    <row r="638" spans="1:1" ht="14.25" customHeight="1">
      <c r="A638" s="449"/>
    </row>
    <row r="639" spans="1:1" ht="14.25" customHeight="1">
      <c r="A639" s="449"/>
    </row>
    <row r="640" spans="1:1" ht="14.25" customHeight="1">
      <c r="A640" s="449"/>
    </row>
    <row r="641" spans="1:1" ht="14.25" customHeight="1">
      <c r="A641" s="449"/>
    </row>
    <row r="642" spans="1:1" ht="14.25" customHeight="1">
      <c r="A642" s="449"/>
    </row>
    <row r="643" spans="1:1" ht="14.25" customHeight="1">
      <c r="A643" s="449"/>
    </row>
    <row r="644" spans="1:1" ht="14.25" customHeight="1">
      <c r="A644" s="449"/>
    </row>
    <row r="645" spans="1:1" ht="14.25" customHeight="1">
      <c r="A645" s="449"/>
    </row>
    <row r="646" spans="1:1" ht="14.25" customHeight="1">
      <c r="A646" s="449"/>
    </row>
    <row r="647" spans="1:1" ht="14.25" customHeight="1">
      <c r="A647" s="449"/>
    </row>
    <row r="648" spans="1:1" ht="14.25" customHeight="1">
      <c r="A648" s="449"/>
    </row>
    <row r="649" spans="1:1" ht="14.25" customHeight="1">
      <c r="A649" s="449"/>
    </row>
    <row r="650" spans="1:1" ht="14.25" customHeight="1">
      <c r="A650" s="449"/>
    </row>
    <row r="651" spans="1:1" ht="14.25" customHeight="1">
      <c r="A651" s="449"/>
    </row>
    <row r="652" spans="1:1" ht="14.25" customHeight="1">
      <c r="A652" s="449"/>
    </row>
    <row r="653" spans="1:1" ht="14.25" customHeight="1">
      <c r="A653" s="449"/>
    </row>
    <row r="654" spans="1:1" ht="14.25" customHeight="1">
      <c r="A654" s="449"/>
    </row>
    <row r="655" spans="1:1" ht="14.25" customHeight="1">
      <c r="A655" s="449"/>
    </row>
    <row r="656" spans="1:1" ht="14.25" customHeight="1">
      <c r="A656" s="449"/>
    </row>
    <row r="657" spans="1:1" ht="14.25" customHeight="1">
      <c r="A657" s="449"/>
    </row>
    <row r="658" spans="1:1" ht="14.25" customHeight="1">
      <c r="A658" s="449"/>
    </row>
    <row r="659" spans="1:1" ht="14.25" customHeight="1">
      <c r="A659" s="449"/>
    </row>
    <row r="660" spans="1:1" ht="14.25" customHeight="1">
      <c r="A660" s="449"/>
    </row>
    <row r="661" spans="1:1" ht="14.25" customHeight="1">
      <c r="A661" s="449"/>
    </row>
    <row r="662" spans="1:1" ht="14.25" customHeight="1">
      <c r="A662" s="449"/>
    </row>
    <row r="663" spans="1:1" ht="14.25" customHeight="1">
      <c r="A663" s="449"/>
    </row>
    <row r="664" spans="1:1" ht="14.25" customHeight="1">
      <c r="A664" s="449"/>
    </row>
    <row r="665" spans="1:1" ht="14.25" customHeight="1">
      <c r="A665" s="449"/>
    </row>
    <row r="666" spans="1:1" ht="14.25" customHeight="1">
      <c r="A666" s="449"/>
    </row>
    <row r="667" spans="1:1" ht="14.25" customHeight="1">
      <c r="A667" s="449"/>
    </row>
    <row r="668" spans="1:1" ht="14.25" customHeight="1">
      <c r="A668" s="449"/>
    </row>
    <row r="669" spans="1:1" ht="14.25" customHeight="1">
      <c r="A669" s="449"/>
    </row>
    <row r="670" spans="1:1" ht="14.25" customHeight="1">
      <c r="A670" s="449"/>
    </row>
    <row r="671" spans="1:1" ht="14.25" customHeight="1">
      <c r="A671" s="449"/>
    </row>
    <row r="672" spans="1:1" ht="14.25" customHeight="1">
      <c r="A672" s="449"/>
    </row>
    <row r="673" spans="1:1" ht="14.25" customHeight="1">
      <c r="A673" s="449"/>
    </row>
    <row r="674" spans="1:1" ht="14.25" customHeight="1">
      <c r="A674" s="449"/>
    </row>
    <row r="675" spans="1:1" ht="14.25" customHeight="1">
      <c r="A675" s="449"/>
    </row>
    <row r="676" spans="1:1" ht="14.25" customHeight="1">
      <c r="A676" s="449"/>
    </row>
    <row r="677" spans="1:1" ht="14.25" customHeight="1">
      <c r="A677" s="449"/>
    </row>
    <row r="678" spans="1:1" ht="14.25" customHeight="1">
      <c r="A678" s="449"/>
    </row>
    <row r="679" spans="1:1" ht="14.25" customHeight="1">
      <c r="A679" s="449"/>
    </row>
    <row r="680" spans="1:1" ht="14.25" customHeight="1">
      <c r="A680" s="449"/>
    </row>
    <row r="681" spans="1:1" ht="14.25" customHeight="1">
      <c r="A681" s="449"/>
    </row>
    <row r="682" spans="1:1" ht="14.25" customHeight="1">
      <c r="A682" s="449"/>
    </row>
    <row r="683" spans="1:1" ht="14.25" customHeight="1">
      <c r="A683" s="449"/>
    </row>
    <row r="684" spans="1:1" ht="14.25" customHeight="1">
      <c r="A684" s="449"/>
    </row>
    <row r="685" spans="1:1" ht="14.25" customHeight="1">
      <c r="A685" s="449"/>
    </row>
    <row r="686" spans="1:1" ht="14.25" customHeight="1">
      <c r="A686" s="449"/>
    </row>
    <row r="687" spans="1:1" ht="14.25" customHeight="1">
      <c r="A687" s="449"/>
    </row>
    <row r="688" spans="1:1" ht="14.25" customHeight="1">
      <c r="A688" s="449"/>
    </row>
    <row r="689" spans="1:1" ht="14.25" customHeight="1">
      <c r="A689" s="449"/>
    </row>
    <row r="690" spans="1:1" ht="14.25" customHeight="1">
      <c r="A690" s="449"/>
    </row>
    <row r="691" spans="1:1" ht="14.25" customHeight="1">
      <c r="A691" s="449"/>
    </row>
    <row r="692" spans="1:1" ht="14.25" customHeight="1">
      <c r="A692" s="449"/>
    </row>
    <row r="693" spans="1:1" ht="14.25" customHeight="1">
      <c r="A693" s="449"/>
    </row>
    <row r="694" spans="1:1" ht="14.25" customHeight="1">
      <c r="A694" s="449"/>
    </row>
    <row r="695" spans="1:1" ht="14.25" customHeight="1">
      <c r="A695" s="449"/>
    </row>
    <row r="696" spans="1:1" ht="14.25" customHeight="1">
      <c r="A696" s="449"/>
    </row>
    <row r="697" spans="1:1" ht="14.25" customHeight="1">
      <c r="A697" s="449"/>
    </row>
    <row r="698" spans="1:1" ht="14.25" customHeight="1">
      <c r="A698" s="449"/>
    </row>
    <row r="699" spans="1:1" ht="14.25" customHeight="1">
      <c r="A699" s="449"/>
    </row>
    <row r="700" spans="1:1" ht="14.25" customHeight="1">
      <c r="A700" s="449"/>
    </row>
    <row r="701" spans="1:1" ht="14.25" customHeight="1">
      <c r="A701" s="449"/>
    </row>
    <row r="702" spans="1:1" ht="14.25" customHeight="1">
      <c r="A702" s="449"/>
    </row>
    <row r="703" spans="1:1" ht="14.25" customHeight="1">
      <c r="A703" s="449"/>
    </row>
    <row r="704" spans="1:1" ht="14.25" customHeight="1">
      <c r="A704" s="449"/>
    </row>
    <row r="705" spans="1:1" ht="14.25" customHeight="1">
      <c r="A705" s="449"/>
    </row>
    <row r="706" spans="1:1" ht="14.25" customHeight="1">
      <c r="A706" s="449"/>
    </row>
    <row r="707" spans="1:1" ht="14.25" customHeight="1">
      <c r="A707" s="449"/>
    </row>
    <row r="708" spans="1:1" ht="14.25" customHeight="1">
      <c r="A708" s="449"/>
    </row>
    <row r="709" spans="1:1" ht="14.25" customHeight="1">
      <c r="A709" s="449"/>
    </row>
    <row r="710" spans="1:1" ht="14.25" customHeight="1">
      <c r="A710" s="449"/>
    </row>
    <row r="711" spans="1:1" ht="14.25" customHeight="1">
      <c r="A711" s="449"/>
    </row>
    <row r="712" spans="1:1" ht="14.25" customHeight="1">
      <c r="A712" s="449"/>
    </row>
    <row r="713" spans="1:1" ht="14.25" customHeight="1">
      <c r="A713" s="449"/>
    </row>
    <row r="714" spans="1:1" ht="14.25" customHeight="1">
      <c r="A714" s="449"/>
    </row>
    <row r="715" spans="1:1" ht="14.25" customHeight="1">
      <c r="A715" s="449"/>
    </row>
    <row r="716" spans="1:1" ht="14.25" customHeight="1">
      <c r="A716" s="449"/>
    </row>
    <row r="717" spans="1:1" ht="14.25" customHeight="1">
      <c r="A717" s="449"/>
    </row>
    <row r="718" spans="1:1" ht="14.25" customHeight="1">
      <c r="A718" s="449"/>
    </row>
    <row r="719" spans="1:1" ht="14.25" customHeight="1">
      <c r="A719" s="449"/>
    </row>
    <row r="720" spans="1:1" ht="14.25" customHeight="1">
      <c r="A720" s="449"/>
    </row>
    <row r="721" spans="1:1" ht="14.25" customHeight="1">
      <c r="A721" s="449"/>
    </row>
    <row r="722" spans="1:1" ht="14.25" customHeight="1">
      <c r="A722" s="449"/>
    </row>
    <row r="723" spans="1:1" ht="14.25" customHeight="1">
      <c r="A723" s="449"/>
    </row>
    <row r="724" spans="1:1" ht="14.25" customHeight="1">
      <c r="A724" s="449"/>
    </row>
    <row r="725" spans="1:1" ht="14.25" customHeight="1">
      <c r="A725" s="449"/>
    </row>
    <row r="726" spans="1:1" ht="14.25" customHeight="1">
      <c r="A726" s="449"/>
    </row>
    <row r="727" spans="1:1" ht="14.25" customHeight="1">
      <c r="A727" s="449"/>
    </row>
    <row r="728" spans="1:1" ht="14.25" customHeight="1">
      <c r="A728" s="449"/>
    </row>
    <row r="729" spans="1:1" ht="14.25" customHeight="1">
      <c r="A729" s="449"/>
    </row>
    <row r="730" spans="1:1" ht="14.25" customHeight="1">
      <c r="A730" s="449"/>
    </row>
    <row r="731" spans="1:1" ht="14.25" customHeight="1">
      <c r="A731" s="449"/>
    </row>
    <row r="732" spans="1:1" ht="14.25" customHeight="1">
      <c r="A732" s="449"/>
    </row>
    <row r="733" spans="1:1" ht="14.25" customHeight="1">
      <c r="A733" s="449"/>
    </row>
    <row r="734" spans="1:1" ht="14.25" customHeight="1">
      <c r="A734" s="449"/>
    </row>
    <row r="735" spans="1:1" ht="14.25" customHeight="1">
      <c r="A735" s="449"/>
    </row>
    <row r="736" spans="1:1" ht="14.25" customHeight="1">
      <c r="A736" s="449"/>
    </row>
    <row r="737" spans="1:1" ht="14.25" customHeight="1">
      <c r="A737" s="449"/>
    </row>
    <row r="738" spans="1:1" ht="14.25" customHeight="1">
      <c r="A738" s="449"/>
    </row>
    <row r="739" spans="1:1" ht="14.25" customHeight="1">
      <c r="A739" s="449"/>
    </row>
    <row r="740" spans="1:1" ht="14.25" customHeight="1">
      <c r="A740" s="449"/>
    </row>
    <row r="741" spans="1:1" ht="14.25" customHeight="1">
      <c r="A741" s="449"/>
    </row>
    <row r="742" spans="1:1" ht="14.25" customHeight="1">
      <c r="A742" s="449"/>
    </row>
    <row r="743" spans="1:1" ht="14.25" customHeight="1">
      <c r="A743" s="449"/>
    </row>
    <row r="744" spans="1:1" ht="14.25" customHeight="1">
      <c r="A744" s="449"/>
    </row>
    <row r="745" spans="1:1" ht="14.25" customHeight="1">
      <c r="A745" s="449"/>
    </row>
    <row r="746" spans="1:1" ht="14.25" customHeight="1">
      <c r="A746" s="449"/>
    </row>
    <row r="747" spans="1:1" ht="14.25" customHeight="1">
      <c r="A747" s="449"/>
    </row>
    <row r="748" spans="1:1" ht="14.25" customHeight="1">
      <c r="A748" s="449"/>
    </row>
    <row r="749" spans="1:1" ht="14.25" customHeight="1">
      <c r="A749" s="449"/>
    </row>
    <row r="750" spans="1:1" ht="14.25" customHeight="1">
      <c r="A750" s="449"/>
    </row>
    <row r="751" spans="1:1" ht="14.25" customHeight="1">
      <c r="A751" s="449"/>
    </row>
    <row r="752" spans="1:1" ht="14.25" customHeight="1">
      <c r="A752" s="449"/>
    </row>
    <row r="753" spans="1:1" ht="14.25" customHeight="1">
      <c r="A753" s="449"/>
    </row>
    <row r="754" spans="1:1" ht="14.25" customHeight="1">
      <c r="A754" s="449"/>
    </row>
    <row r="755" spans="1:1" ht="14.25" customHeight="1">
      <c r="A755" s="449"/>
    </row>
    <row r="756" spans="1:1" ht="14.25" customHeight="1">
      <c r="A756" s="449"/>
    </row>
    <row r="757" spans="1:1" ht="14.25" customHeight="1">
      <c r="A757" s="449"/>
    </row>
    <row r="758" spans="1:1" ht="14.25" customHeight="1">
      <c r="A758" s="449"/>
    </row>
    <row r="759" spans="1:1" ht="14.25" customHeight="1">
      <c r="A759" s="449"/>
    </row>
    <row r="760" spans="1:1" ht="14.25" customHeight="1">
      <c r="A760" s="449"/>
    </row>
    <row r="761" spans="1:1" ht="14.25" customHeight="1">
      <c r="A761" s="449"/>
    </row>
    <row r="762" spans="1:1" ht="14.25" customHeight="1">
      <c r="A762" s="449"/>
    </row>
    <row r="763" spans="1:1" ht="14.25" customHeight="1">
      <c r="A763" s="449"/>
    </row>
    <row r="764" spans="1:1" ht="14.25" customHeight="1">
      <c r="A764" s="449"/>
    </row>
    <row r="765" spans="1:1" ht="14.25" customHeight="1">
      <c r="A765" s="449"/>
    </row>
    <row r="766" spans="1:1" ht="14.25" customHeight="1">
      <c r="A766" s="449"/>
    </row>
    <row r="767" spans="1:1" ht="14.25" customHeight="1">
      <c r="A767" s="449"/>
    </row>
    <row r="768" spans="1:1" ht="14.25" customHeight="1">
      <c r="A768" s="449"/>
    </row>
    <row r="769" spans="1:1" ht="14.25" customHeight="1">
      <c r="A769" s="449"/>
    </row>
    <row r="770" spans="1:1" ht="14.25" customHeight="1">
      <c r="A770" s="449"/>
    </row>
    <row r="771" spans="1:1" ht="14.25" customHeight="1">
      <c r="A771" s="449"/>
    </row>
    <row r="772" spans="1:1" ht="14.25" customHeight="1">
      <c r="A772" s="449"/>
    </row>
    <row r="773" spans="1:1" ht="14.25" customHeight="1">
      <c r="A773" s="449"/>
    </row>
    <row r="774" spans="1:1" ht="14.25" customHeight="1">
      <c r="A774" s="449"/>
    </row>
    <row r="775" spans="1:1" ht="14.25" customHeight="1">
      <c r="A775" s="449"/>
    </row>
    <row r="776" spans="1:1" ht="14.25" customHeight="1">
      <c r="A776" s="449"/>
    </row>
    <row r="777" spans="1:1" ht="14.25" customHeight="1">
      <c r="A777" s="449"/>
    </row>
    <row r="778" spans="1:1" ht="14.25" customHeight="1">
      <c r="A778" s="449"/>
    </row>
    <row r="779" spans="1:1" ht="14.25" customHeight="1">
      <c r="A779" s="449"/>
    </row>
    <row r="780" spans="1:1" ht="14.25" customHeight="1">
      <c r="A780" s="449"/>
    </row>
    <row r="781" spans="1:1" ht="14.25" customHeight="1">
      <c r="A781" s="449"/>
    </row>
    <row r="782" spans="1:1" ht="14.25" customHeight="1">
      <c r="A782" s="449"/>
    </row>
    <row r="783" spans="1:1" ht="14.25" customHeight="1">
      <c r="A783" s="449"/>
    </row>
    <row r="784" spans="1:1" ht="14.25" customHeight="1">
      <c r="A784" s="449"/>
    </row>
    <row r="785" spans="1:1" ht="14.25" customHeight="1">
      <c r="A785" s="449"/>
    </row>
    <row r="786" spans="1:1" ht="14.25" customHeight="1">
      <c r="A786" s="449"/>
    </row>
    <row r="787" spans="1:1" ht="14.25" customHeight="1">
      <c r="A787" s="449"/>
    </row>
    <row r="788" spans="1:1" ht="14.25" customHeight="1">
      <c r="A788" s="449"/>
    </row>
    <row r="789" spans="1:1" ht="14.25" customHeight="1">
      <c r="A789" s="449"/>
    </row>
    <row r="790" spans="1:1" ht="14.25" customHeight="1">
      <c r="A790" s="449"/>
    </row>
    <row r="791" spans="1:1" ht="14.25" customHeight="1">
      <c r="A791" s="449"/>
    </row>
    <row r="792" spans="1:1" ht="14.25" customHeight="1">
      <c r="A792" s="449"/>
    </row>
    <row r="793" spans="1:1" ht="14.25" customHeight="1">
      <c r="A793" s="449"/>
    </row>
    <row r="794" spans="1:1" ht="14.25" customHeight="1">
      <c r="A794" s="449"/>
    </row>
    <row r="795" spans="1:1" ht="14.25" customHeight="1">
      <c r="A795" s="449"/>
    </row>
    <row r="796" spans="1:1" ht="14.25" customHeight="1">
      <c r="A796" s="449"/>
    </row>
    <row r="797" spans="1:1" ht="14.25" customHeight="1">
      <c r="A797" s="449"/>
    </row>
    <row r="798" spans="1:1" ht="14.25" customHeight="1">
      <c r="A798" s="449"/>
    </row>
    <row r="799" spans="1:1" ht="14.25" customHeight="1">
      <c r="A799" s="449"/>
    </row>
    <row r="800" spans="1:1" ht="14.25" customHeight="1">
      <c r="A800" s="449"/>
    </row>
    <row r="801" spans="1:1" ht="14.25" customHeight="1">
      <c r="A801" s="449"/>
    </row>
    <row r="802" spans="1:1" ht="14.25" customHeight="1">
      <c r="A802" s="449"/>
    </row>
    <row r="803" spans="1:1" ht="14.25" customHeight="1">
      <c r="A803" s="449"/>
    </row>
    <row r="804" spans="1:1" ht="14.25" customHeight="1">
      <c r="A804" s="449"/>
    </row>
    <row r="805" spans="1:1" ht="14.25" customHeight="1">
      <c r="A805" s="449"/>
    </row>
    <row r="806" spans="1:1" ht="14.25" customHeight="1">
      <c r="A806" s="449"/>
    </row>
    <row r="807" spans="1:1" ht="14.25" customHeight="1">
      <c r="A807" s="449"/>
    </row>
    <row r="808" spans="1:1" ht="14.25" customHeight="1">
      <c r="A808" s="449"/>
    </row>
    <row r="809" spans="1:1" ht="14.25" customHeight="1">
      <c r="A809" s="449"/>
    </row>
    <row r="810" spans="1:1" ht="14.25" customHeight="1">
      <c r="A810" s="449"/>
    </row>
    <row r="811" spans="1:1" ht="14.25" customHeight="1">
      <c r="A811" s="449"/>
    </row>
    <row r="812" spans="1:1" ht="14.25" customHeight="1">
      <c r="A812" s="449"/>
    </row>
    <row r="813" spans="1:1" ht="14.25" customHeight="1">
      <c r="A813" s="449"/>
    </row>
    <row r="814" spans="1:1" ht="14.25" customHeight="1">
      <c r="A814" s="449"/>
    </row>
    <row r="815" spans="1:1" ht="14.25" customHeight="1">
      <c r="A815" s="449"/>
    </row>
    <row r="816" spans="1:1" ht="14.25" customHeight="1">
      <c r="A816" s="449"/>
    </row>
    <row r="817" spans="1:1" ht="14.25" customHeight="1">
      <c r="A817" s="449"/>
    </row>
    <row r="818" spans="1:1" ht="14.25" customHeight="1">
      <c r="A818" s="449"/>
    </row>
    <row r="819" spans="1:1" ht="14.25" customHeight="1">
      <c r="A819" s="449"/>
    </row>
    <row r="820" spans="1:1" ht="14.25" customHeight="1">
      <c r="A820" s="449"/>
    </row>
    <row r="821" spans="1:1" ht="14.25" customHeight="1">
      <c r="A821" s="449"/>
    </row>
    <row r="822" spans="1:1" ht="14.25" customHeight="1">
      <c r="A822" s="449"/>
    </row>
    <row r="823" spans="1:1" ht="14.25" customHeight="1">
      <c r="A823" s="449"/>
    </row>
    <row r="824" spans="1:1" ht="14.25" customHeight="1">
      <c r="A824" s="449"/>
    </row>
    <row r="825" spans="1:1" ht="14.25" customHeight="1">
      <c r="A825" s="449"/>
    </row>
    <row r="826" spans="1:1" ht="14.25" customHeight="1">
      <c r="A826" s="449"/>
    </row>
    <row r="827" spans="1:1" ht="14.25" customHeight="1">
      <c r="A827" s="449"/>
    </row>
    <row r="828" spans="1:1" ht="14.25" customHeight="1">
      <c r="A828" s="449"/>
    </row>
    <row r="829" spans="1:1" ht="14.25" customHeight="1">
      <c r="A829" s="449"/>
    </row>
    <row r="830" spans="1:1" ht="14.25" customHeight="1">
      <c r="A830" s="449"/>
    </row>
    <row r="831" spans="1:1" ht="14.25" customHeight="1">
      <c r="A831" s="449"/>
    </row>
    <row r="832" spans="1:1" ht="14.25" customHeight="1">
      <c r="A832" s="449"/>
    </row>
    <row r="833" spans="1:1" ht="14.25" customHeight="1">
      <c r="A833" s="449"/>
    </row>
    <row r="834" spans="1:1" ht="14.25" customHeight="1">
      <c r="A834" s="449"/>
    </row>
    <row r="835" spans="1:1" ht="14.25" customHeight="1">
      <c r="A835" s="449"/>
    </row>
    <row r="836" spans="1:1" ht="14.25" customHeight="1">
      <c r="A836" s="449"/>
    </row>
    <row r="837" spans="1:1" ht="14.25" customHeight="1">
      <c r="A837" s="449"/>
    </row>
    <row r="838" spans="1:1" ht="14.25" customHeight="1">
      <c r="A838" s="449"/>
    </row>
    <row r="839" spans="1:1" ht="14.25" customHeight="1">
      <c r="A839" s="449"/>
    </row>
    <row r="840" spans="1:1" ht="14.25" customHeight="1">
      <c r="A840" s="449"/>
    </row>
    <row r="841" spans="1:1" ht="14.25" customHeight="1">
      <c r="A841" s="449"/>
    </row>
    <row r="842" spans="1:1" ht="14.25" customHeight="1">
      <c r="A842" s="449"/>
    </row>
    <row r="843" spans="1:1" ht="14.25" customHeight="1">
      <c r="A843" s="449"/>
    </row>
    <row r="844" spans="1:1" ht="14.25" customHeight="1">
      <c r="A844" s="449"/>
    </row>
    <row r="845" spans="1:1" ht="14.25" customHeight="1">
      <c r="A845" s="449"/>
    </row>
    <row r="846" spans="1:1" ht="14.25" customHeight="1">
      <c r="A846" s="449"/>
    </row>
    <row r="847" spans="1:1" ht="14.25" customHeight="1">
      <c r="A847" s="449"/>
    </row>
    <row r="848" spans="1:1" ht="14.25" customHeight="1">
      <c r="A848" s="449"/>
    </row>
    <row r="849" spans="1:1" ht="14.25" customHeight="1">
      <c r="A849" s="449"/>
    </row>
    <row r="850" spans="1:1" ht="14.25" customHeight="1">
      <c r="A850" s="449"/>
    </row>
    <row r="851" spans="1:1" ht="14.25" customHeight="1">
      <c r="A851" s="449"/>
    </row>
    <row r="852" spans="1:1" ht="14.25" customHeight="1">
      <c r="A852" s="449"/>
    </row>
    <row r="853" spans="1:1" ht="14.25" customHeight="1">
      <c r="A853" s="449"/>
    </row>
    <row r="854" spans="1:1" ht="14.25" customHeight="1">
      <c r="A854" s="449"/>
    </row>
    <row r="855" spans="1:1" ht="14.25" customHeight="1">
      <c r="A855" s="449"/>
    </row>
    <row r="856" spans="1:1" ht="14.25" customHeight="1">
      <c r="A856" s="449"/>
    </row>
    <row r="857" spans="1:1" ht="14.25" customHeight="1">
      <c r="A857" s="449"/>
    </row>
    <row r="858" spans="1:1" ht="14.25" customHeight="1">
      <c r="A858" s="449"/>
    </row>
    <row r="859" spans="1:1" ht="14.25" customHeight="1">
      <c r="A859" s="449"/>
    </row>
    <row r="860" spans="1:1" ht="14.25" customHeight="1">
      <c r="A860" s="449"/>
    </row>
    <row r="861" spans="1:1" ht="14.25" customHeight="1">
      <c r="A861" s="449"/>
    </row>
    <row r="862" spans="1:1" ht="14.25" customHeight="1">
      <c r="A862" s="449"/>
    </row>
    <row r="863" spans="1:1" ht="14.25" customHeight="1">
      <c r="A863" s="449"/>
    </row>
    <row r="864" spans="1:1" ht="14.25" customHeight="1">
      <c r="A864" s="449"/>
    </row>
    <row r="865" spans="1:1" ht="14.25" customHeight="1">
      <c r="A865" s="449"/>
    </row>
    <row r="866" spans="1:1" ht="14.25" customHeight="1">
      <c r="A866" s="449"/>
    </row>
    <row r="867" spans="1:1" ht="14.25" customHeight="1">
      <c r="A867" s="449"/>
    </row>
    <row r="868" spans="1:1" ht="14.25" customHeight="1">
      <c r="A868" s="449"/>
    </row>
    <row r="869" spans="1:1" ht="14.25" customHeight="1">
      <c r="A869" s="449"/>
    </row>
    <row r="870" spans="1:1" ht="14.25" customHeight="1">
      <c r="A870" s="449"/>
    </row>
    <row r="871" spans="1:1" ht="14.25" customHeight="1">
      <c r="A871" s="449"/>
    </row>
    <row r="872" spans="1:1" ht="14.25" customHeight="1">
      <c r="A872" s="449"/>
    </row>
    <row r="873" spans="1:1" ht="14.25" customHeight="1">
      <c r="A873" s="449"/>
    </row>
    <row r="874" spans="1:1" ht="14.25" customHeight="1">
      <c r="A874" s="449"/>
    </row>
    <row r="875" spans="1:1" ht="14.25" customHeight="1">
      <c r="A875" s="449"/>
    </row>
    <row r="876" spans="1:1" ht="14.25" customHeight="1">
      <c r="A876" s="449"/>
    </row>
    <row r="877" spans="1:1" ht="14.25" customHeight="1">
      <c r="A877" s="449"/>
    </row>
    <row r="878" spans="1:1" ht="14.25" customHeight="1">
      <c r="A878" s="449"/>
    </row>
    <row r="879" spans="1:1" ht="14.25" customHeight="1">
      <c r="A879" s="449"/>
    </row>
    <row r="880" spans="1:1" ht="14.25" customHeight="1">
      <c r="A880" s="449"/>
    </row>
    <row r="881" spans="1:1" ht="14.25" customHeight="1">
      <c r="A881" s="449"/>
    </row>
    <row r="882" spans="1:1" ht="14.25" customHeight="1">
      <c r="A882" s="449"/>
    </row>
    <row r="883" spans="1:1" ht="14.25" customHeight="1">
      <c r="A883" s="449"/>
    </row>
    <row r="884" spans="1:1" ht="14.25" customHeight="1">
      <c r="A884" s="449"/>
    </row>
    <row r="885" spans="1:1" ht="14.25" customHeight="1">
      <c r="A885" s="449"/>
    </row>
    <row r="886" spans="1:1" ht="14.25" customHeight="1">
      <c r="A886" s="449"/>
    </row>
    <row r="887" spans="1:1" ht="14.25" customHeight="1">
      <c r="A887" s="449"/>
    </row>
    <row r="888" spans="1:1" ht="14.25" customHeight="1">
      <c r="A888" s="449"/>
    </row>
    <row r="889" spans="1:1" ht="14.25" customHeight="1">
      <c r="A889" s="449"/>
    </row>
    <row r="890" spans="1:1" ht="14.25" customHeight="1">
      <c r="A890" s="449"/>
    </row>
    <row r="891" spans="1:1" ht="14.25" customHeight="1">
      <c r="A891" s="449"/>
    </row>
    <row r="892" spans="1:1" ht="14.25" customHeight="1">
      <c r="A892" s="449"/>
    </row>
    <row r="893" spans="1:1" ht="14.25" customHeight="1">
      <c r="A893" s="449"/>
    </row>
    <row r="894" spans="1:1" ht="14.25" customHeight="1">
      <c r="A894" s="449"/>
    </row>
    <row r="895" spans="1:1" ht="14.25" customHeight="1">
      <c r="A895" s="449"/>
    </row>
    <row r="896" spans="1:1" ht="14.25" customHeight="1">
      <c r="A896" s="449"/>
    </row>
    <row r="897" spans="1:1" ht="14.25" customHeight="1">
      <c r="A897" s="449"/>
    </row>
    <row r="898" spans="1:1" ht="14.25" customHeight="1">
      <c r="A898" s="449"/>
    </row>
    <row r="899" spans="1:1" ht="14.25" customHeight="1">
      <c r="A899" s="449"/>
    </row>
    <row r="900" spans="1:1" ht="14.25" customHeight="1">
      <c r="A900" s="449"/>
    </row>
    <row r="901" spans="1:1" ht="14.25" customHeight="1">
      <c r="A901" s="449"/>
    </row>
    <row r="902" spans="1:1" ht="14.25" customHeight="1">
      <c r="A902" s="449"/>
    </row>
    <row r="903" spans="1:1" ht="14.25" customHeight="1">
      <c r="A903" s="449"/>
    </row>
    <row r="904" spans="1:1" ht="14.25" customHeight="1">
      <c r="A904" s="449"/>
    </row>
    <row r="905" spans="1:1" ht="14.25" customHeight="1">
      <c r="A905" s="449"/>
    </row>
    <row r="906" spans="1:1" ht="14.25" customHeight="1">
      <c r="A906" s="449"/>
    </row>
    <row r="907" spans="1:1" ht="14.25" customHeight="1">
      <c r="A907" s="449"/>
    </row>
    <row r="908" spans="1:1" ht="14.25" customHeight="1">
      <c r="A908" s="449"/>
    </row>
    <row r="909" spans="1:1" ht="14.25" customHeight="1">
      <c r="A909" s="449"/>
    </row>
    <row r="910" spans="1:1" ht="14.25" customHeight="1">
      <c r="A910" s="449"/>
    </row>
    <row r="911" spans="1:1" ht="14.25" customHeight="1">
      <c r="A911" s="449"/>
    </row>
    <row r="912" spans="1:1" ht="14.25" customHeight="1">
      <c r="A912" s="449"/>
    </row>
    <row r="913" spans="1:1" ht="14.25" customHeight="1">
      <c r="A913" s="449"/>
    </row>
    <row r="914" spans="1:1" ht="14.25" customHeight="1">
      <c r="A914" s="449"/>
    </row>
    <row r="915" spans="1:1" ht="14.25" customHeight="1">
      <c r="A915" s="449"/>
    </row>
    <row r="916" spans="1:1" ht="14.25" customHeight="1">
      <c r="A916" s="449"/>
    </row>
    <row r="917" spans="1:1" ht="14.25" customHeight="1">
      <c r="A917" s="449"/>
    </row>
    <row r="918" spans="1:1" ht="14.25" customHeight="1">
      <c r="A918" s="449"/>
    </row>
    <row r="919" spans="1:1" ht="14.25" customHeight="1">
      <c r="A919" s="449"/>
    </row>
    <row r="920" spans="1:1" ht="14.25" customHeight="1">
      <c r="A920" s="449"/>
    </row>
    <row r="921" spans="1:1" ht="14.25" customHeight="1">
      <c r="A921" s="449"/>
    </row>
    <row r="922" spans="1:1" ht="14.25" customHeight="1">
      <c r="A922" s="449"/>
    </row>
    <row r="923" spans="1:1" ht="14.25" customHeight="1">
      <c r="A923" s="449"/>
    </row>
    <row r="924" spans="1:1" ht="14.25" customHeight="1">
      <c r="A924" s="449"/>
    </row>
    <row r="925" spans="1:1" ht="14.25" customHeight="1">
      <c r="A925" s="449"/>
    </row>
    <row r="926" spans="1:1" ht="14.25" customHeight="1">
      <c r="A926" s="449"/>
    </row>
    <row r="927" spans="1:1" ht="14.25" customHeight="1">
      <c r="A927" s="449"/>
    </row>
    <row r="928" spans="1:1" ht="14.25" customHeight="1">
      <c r="A928" s="449"/>
    </row>
    <row r="929" spans="1:1" ht="14.25" customHeight="1">
      <c r="A929" s="449"/>
    </row>
    <row r="930" spans="1:1" ht="14.25" customHeight="1">
      <c r="A930" s="449"/>
    </row>
    <row r="931" spans="1:1" ht="14.25" customHeight="1">
      <c r="A931" s="449"/>
    </row>
    <row r="932" spans="1:1" ht="14.25" customHeight="1">
      <c r="A932" s="449"/>
    </row>
    <row r="933" spans="1:1" ht="14.25" customHeight="1">
      <c r="A933" s="449"/>
    </row>
    <row r="934" spans="1:1" ht="14.25" customHeight="1">
      <c r="A934" s="449"/>
    </row>
    <row r="935" spans="1:1" ht="14.25" customHeight="1">
      <c r="A935" s="449"/>
    </row>
    <row r="936" spans="1:1" ht="14.25" customHeight="1">
      <c r="A936" s="449"/>
    </row>
    <row r="937" spans="1:1" ht="14.25" customHeight="1">
      <c r="A937" s="449"/>
    </row>
    <row r="938" spans="1:1" ht="14.25" customHeight="1">
      <c r="A938" s="449"/>
    </row>
    <row r="939" spans="1:1" ht="14.25" customHeight="1">
      <c r="A939" s="449"/>
    </row>
    <row r="940" spans="1:1" ht="14.25" customHeight="1">
      <c r="A940" s="449"/>
    </row>
    <row r="941" spans="1:1" ht="14.25" customHeight="1">
      <c r="A941" s="449"/>
    </row>
    <row r="942" spans="1:1" ht="14.25" customHeight="1">
      <c r="A942" s="449"/>
    </row>
    <row r="943" spans="1:1" ht="14.25" customHeight="1">
      <c r="A943" s="449"/>
    </row>
    <row r="944" spans="1:1" ht="14.25" customHeight="1">
      <c r="A944" s="449"/>
    </row>
    <row r="945" spans="1:1" ht="14.25" customHeight="1">
      <c r="A945" s="449"/>
    </row>
    <row r="946" spans="1:1" ht="14.25" customHeight="1">
      <c r="A946" s="449"/>
    </row>
    <row r="947" spans="1:1" ht="14.25" customHeight="1">
      <c r="A947" s="449"/>
    </row>
    <row r="948" spans="1:1" ht="14.25" customHeight="1">
      <c r="A948" s="449"/>
    </row>
    <row r="949" spans="1:1" ht="14.25" customHeight="1">
      <c r="A949" s="449"/>
    </row>
    <row r="950" spans="1:1" ht="14.25" customHeight="1">
      <c r="A950" s="449"/>
    </row>
    <row r="951" spans="1:1" ht="14.25" customHeight="1">
      <c r="A951" s="449"/>
    </row>
    <row r="952" spans="1:1" ht="14.25" customHeight="1">
      <c r="A952" s="449"/>
    </row>
    <row r="953" spans="1:1" ht="14.25" customHeight="1">
      <c r="A953" s="449"/>
    </row>
    <row r="954" spans="1:1" ht="14.25" customHeight="1">
      <c r="A954" s="449"/>
    </row>
    <row r="955" spans="1:1" ht="14.25" customHeight="1">
      <c r="A955" s="449"/>
    </row>
    <row r="956" spans="1:1" ht="14.25" customHeight="1">
      <c r="A956" s="449"/>
    </row>
    <row r="957" spans="1:1" ht="14.25" customHeight="1">
      <c r="A957" s="449"/>
    </row>
    <row r="958" spans="1:1" ht="14.25" customHeight="1">
      <c r="A958" s="449"/>
    </row>
    <row r="959" spans="1:1" ht="14.25" customHeight="1">
      <c r="A959" s="449"/>
    </row>
    <row r="960" spans="1:1" ht="14.25" customHeight="1">
      <c r="A960" s="449"/>
    </row>
    <row r="961" spans="1:1" ht="14.25" customHeight="1">
      <c r="A961" s="449"/>
    </row>
    <row r="962" spans="1:1" ht="14.25" customHeight="1">
      <c r="A962" s="449"/>
    </row>
    <row r="963" spans="1:1" ht="14.25" customHeight="1">
      <c r="A963" s="449"/>
    </row>
    <row r="964" spans="1:1" ht="14.25" customHeight="1">
      <c r="A964" s="449"/>
    </row>
    <row r="965" spans="1:1" ht="14.25" customHeight="1">
      <c r="A965" s="449"/>
    </row>
  </sheetData>
  <mergeCells count="12">
    <mergeCell ref="B6:C6"/>
    <mergeCell ref="J41:L41"/>
    <mergeCell ref="F41:H41"/>
    <mergeCell ref="B41:D41"/>
    <mergeCell ref="E6:F6"/>
    <mergeCell ref="C15:D15"/>
    <mergeCell ref="I3:M3"/>
    <mergeCell ref="I8:K8"/>
    <mergeCell ref="L8:M8"/>
    <mergeCell ref="N41:R41"/>
    <mergeCell ref="N46:P46"/>
    <mergeCell ref="Q46:R46"/>
  </mergeCells>
  <pageMargins left="0.7" right="0.7" top="0.75" bottom="0.75" header="0" footer="0"/>
  <pageSetup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16757"/>
  </sheetPr>
  <dimension ref="B1:K1002"/>
  <sheetViews>
    <sheetView showGridLines="0" zoomScale="85" zoomScaleNormal="85" workbookViewId="0">
      <selection activeCell="F28" sqref="F28"/>
    </sheetView>
  </sheetViews>
  <sheetFormatPr defaultColWidth="12.625" defaultRowHeight="15" customHeight="1"/>
  <cols>
    <col min="1" max="1" width="9.125" style="433" customWidth="1"/>
    <col min="2" max="2" width="68.25" style="433" bestFit="1" customWidth="1"/>
    <col min="3" max="3" width="22.25" style="433" bestFit="1" customWidth="1"/>
    <col min="4" max="4" width="18.25" style="433" customWidth="1"/>
    <col min="5" max="5" width="20.75" style="433" customWidth="1"/>
    <col min="6" max="6" width="18.25" style="433" customWidth="1"/>
    <col min="7" max="9" width="8.625" style="433" customWidth="1"/>
    <col min="10" max="10" width="38.25" style="433" customWidth="1"/>
    <col min="11" max="11" width="25.75" style="433" bestFit="1" customWidth="1"/>
    <col min="12" max="15" width="17.75" style="433" bestFit="1" customWidth="1"/>
    <col min="16" max="25" width="8.625" style="433" customWidth="1"/>
    <col min="26" max="16384" width="12.625" style="433"/>
  </cols>
  <sheetData>
    <row r="1" spans="2:11" ht="14.25" customHeight="1"/>
    <row r="2" spans="2:11" ht="13.9" customHeight="1" thickBot="1">
      <c r="B2" s="434"/>
      <c r="C2" s="434"/>
      <c r="D2" s="434"/>
      <c r="E2" s="434"/>
      <c r="F2" s="434"/>
      <c r="G2" s="435"/>
      <c r="H2" s="435"/>
      <c r="I2" s="435"/>
      <c r="J2" s="435"/>
    </row>
    <row r="3" spans="2:11" s="436" customFormat="1" ht="28.15" customHeight="1">
      <c r="B3" s="410" t="s">
        <v>238</v>
      </c>
      <c r="C3" s="411">
        <f>EMV!C14</f>
        <v>217.9</v>
      </c>
      <c r="I3" s="624" t="s">
        <v>236</v>
      </c>
      <c r="J3" s="625"/>
      <c r="K3" s="626"/>
    </row>
    <row r="4" spans="2:11" s="436" customFormat="1" ht="28.15" customHeight="1">
      <c r="B4" s="412" t="s">
        <v>157</v>
      </c>
      <c r="C4" s="413">
        <f>EMV!C16</f>
        <v>844239058</v>
      </c>
      <c r="I4" s="414">
        <v>1</v>
      </c>
      <c r="J4" s="415" t="s">
        <v>202</v>
      </c>
      <c r="K4" s="416">
        <f>C9/(C9+C5)</f>
        <v>-0.19464576243834555</v>
      </c>
    </row>
    <row r="5" spans="2:11" s="436" customFormat="1" ht="28.15" customHeight="1" thickBot="1">
      <c r="B5" s="417" t="s">
        <v>237</v>
      </c>
      <c r="C5" s="418">
        <f>C3*C4</f>
        <v>183959690738.20001</v>
      </c>
      <c r="I5" s="419">
        <v>2</v>
      </c>
      <c r="J5" s="420" t="s">
        <v>203</v>
      </c>
      <c r="K5" s="421">
        <f>C5/(C5+C9)</f>
        <v>1.1946457624383455</v>
      </c>
    </row>
    <row r="6" spans="2:11" s="436" customFormat="1" ht="28.15" customHeight="1" thickBot="1">
      <c r="I6" s="422">
        <v>3</v>
      </c>
      <c r="J6" s="423" t="s">
        <v>193</v>
      </c>
      <c r="K6" s="424">
        <f>D24</f>
        <v>0.10102533159189361</v>
      </c>
    </row>
    <row r="7" spans="2:11" s="436" customFormat="1" ht="28.15" customHeight="1">
      <c r="B7" s="410" t="s">
        <v>168</v>
      </c>
      <c r="C7" s="425">
        <f>EBV!J43</f>
        <v>2591449286</v>
      </c>
      <c r="I7" s="419">
        <v>4</v>
      </c>
      <c r="J7" s="420" t="s">
        <v>204</v>
      </c>
      <c r="K7" s="421">
        <f>'Implied Cost of Debt'!E38</f>
        <v>0.11</v>
      </c>
    </row>
    <row r="8" spans="2:11" s="436" customFormat="1" ht="28.15" customHeight="1">
      <c r="B8" s="412" t="s">
        <v>141</v>
      </c>
      <c r="C8" s="413">
        <f>EBV!J37</f>
        <v>32564329438</v>
      </c>
      <c r="I8" s="426">
        <v>5</v>
      </c>
      <c r="J8" s="427" t="s">
        <v>205</v>
      </c>
      <c r="K8" s="428">
        <f>D17</f>
        <v>0.24282664203476423</v>
      </c>
    </row>
    <row r="9" spans="2:11" s="436" customFormat="1" ht="28.15" customHeight="1" thickBot="1">
      <c r="B9" s="417" t="s">
        <v>239</v>
      </c>
      <c r="C9" s="418">
        <f>C7-C8</f>
        <v>-29972880152</v>
      </c>
      <c r="I9" s="627" t="s">
        <v>74</v>
      </c>
      <c r="J9" s="628"/>
      <c r="K9" s="429">
        <f>(K5*K6)+((K4*K7)*(1-K8))</f>
        <v>0.1044776198736784</v>
      </c>
    </row>
    <row r="10" spans="2:11" s="436" customFormat="1" ht="28.15" customHeight="1">
      <c r="B10" s="435"/>
      <c r="C10" s="435"/>
      <c r="D10" s="435"/>
      <c r="E10" s="435"/>
      <c r="F10" s="435"/>
      <c r="J10" s="437"/>
      <c r="K10" s="438"/>
    </row>
    <row r="11" spans="2:11" s="436" customFormat="1" ht="28.15" customHeight="1" thickBot="1">
      <c r="B11" s="435"/>
      <c r="C11" s="435"/>
      <c r="D11" s="435"/>
      <c r="E11" s="435"/>
      <c r="F11" s="435"/>
      <c r="J11" s="435"/>
      <c r="K11" s="433"/>
    </row>
    <row r="12" spans="2:11" ht="20.25">
      <c r="B12" s="634" t="s">
        <v>70</v>
      </c>
      <c r="C12" s="635"/>
      <c r="D12" s="635"/>
      <c r="E12" s="635"/>
      <c r="F12" s="636"/>
      <c r="G12" s="435"/>
      <c r="H12" s="435"/>
      <c r="I12" s="435"/>
      <c r="J12" s="435"/>
    </row>
    <row r="13" spans="2:11" ht="14.25" customHeight="1">
      <c r="B13" s="439"/>
      <c r="C13" s="430" t="s">
        <v>81</v>
      </c>
      <c r="D13" s="430" t="s">
        <v>82</v>
      </c>
      <c r="E13" s="430" t="s">
        <v>83</v>
      </c>
      <c r="F13" s="431" t="s">
        <v>84</v>
      </c>
      <c r="G13" s="435"/>
      <c r="H13" s="435"/>
      <c r="I13" s="435"/>
      <c r="J13" s="434"/>
    </row>
    <row r="14" spans="2:11" ht="18">
      <c r="B14" s="440" t="s">
        <v>213</v>
      </c>
      <c r="C14" s="441">
        <f>'Income Statement'!B19</f>
        <v>10903249640</v>
      </c>
      <c r="D14" s="441">
        <f>'Income Statement'!C19</f>
        <v>12743062576</v>
      </c>
      <c r="E14" s="441">
        <f>'Income Statement'!D19</f>
        <v>13847938760</v>
      </c>
      <c r="F14" s="442">
        <f>'Income Statement'!E19</f>
        <v>15660887890</v>
      </c>
      <c r="G14" s="435"/>
      <c r="H14" s="435"/>
      <c r="I14" s="435"/>
      <c r="J14" s="434"/>
    </row>
    <row r="15" spans="2:11" ht="18">
      <c r="B15" s="443" t="s">
        <v>198</v>
      </c>
      <c r="C15" s="444">
        <f>-'Income Statement'!B24</f>
        <v>2616706085</v>
      </c>
      <c r="D15" s="444">
        <f>-'Income Statement'!C24</f>
        <v>3023886371</v>
      </c>
      <c r="E15" s="444">
        <f>-'Income Statement'!D24</f>
        <v>3357047478</v>
      </c>
      <c r="F15" s="445">
        <f>-'Income Statement'!E24</f>
        <v>3940193051</v>
      </c>
      <c r="G15" s="434"/>
      <c r="H15" s="434"/>
      <c r="I15" s="434"/>
      <c r="J15" s="434"/>
    </row>
    <row r="16" spans="2:11" ht="18">
      <c r="B16" s="446" t="s">
        <v>199</v>
      </c>
      <c r="C16" s="447">
        <f>C15/C14</f>
        <v>0.23999322875267121</v>
      </c>
      <c r="D16" s="447">
        <f t="shared" ref="D16:F16" si="0">D15/D14</f>
        <v>0.23729667440346092</v>
      </c>
      <c r="E16" s="447">
        <f t="shared" si="0"/>
        <v>0.24242217821592965</v>
      </c>
      <c r="F16" s="448">
        <f t="shared" si="0"/>
        <v>0.2515944867669952</v>
      </c>
      <c r="G16" s="434"/>
      <c r="H16" s="434"/>
      <c r="I16" s="434"/>
      <c r="J16" s="434"/>
    </row>
    <row r="17" spans="2:10" ht="21" thickBot="1">
      <c r="B17" s="632" t="s">
        <v>70</v>
      </c>
      <c r="C17" s="633"/>
      <c r="D17" s="637">
        <f>AVERAGE(C16:F16)</f>
        <v>0.24282664203476423</v>
      </c>
      <c r="E17" s="637"/>
      <c r="F17" s="638"/>
      <c r="J17" s="434"/>
    </row>
    <row r="18" spans="2:10" ht="14.25" customHeight="1">
      <c r="F18" s="434"/>
      <c r="J18" s="434"/>
    </row>
    <row r="19" spans="2:10" ht="16.899999999999999" customHeight="1" thickBot="1">
      <c r="B19" s="438"/>
      <c r="C19" s="438"/>
      <c r="D19" s="438"/>
      <c r="F19" s="434"/>
      <c r="J19" s="434"/>
    </row>
    <row r="20" spans="2:10" ht="22.5">
      <c r="B20" s="629" t="s">
        <v>190</v>
      </c>
      <c r="C20" s="630"/>
      <c r="D20" s="631"/>
      <c r="G20" s="434"/>
    </row>
    <row r="21" spans="2:10" ht="16.899999999999999" customHeight="1">
      <c r="B21" s="169"/>
      <c r="C21" s="165" t="s">
        <v>201</v>
      </c>
      <c r="D21" s="170" t="s">
        <v>200</v>
      </c>
      <c r="G21" s="434"/>
    </row>
    <row r="22" spans="2:10" ht="15" customHeight="1">
      <c r="B22" s="171" t="s">
        <v>226</v>
      </c>
      <c r="C22" s="166">
        <f>'Implied Cost of Equity (Gordon)'!G35</f>
        <v>8.1600235987397948E-2</v>
      </c>
      <c r="D22" s="168">
        <f>'Implied Cost of Equity (CAPM)'!E15</f>
        <v>0.11397539532822405</v>
      </c>
      <c r="G22" s="434"/>
    </row>
    <row r="23" spans="2:10" ht="14.65" customHeight="1">
      <c r="B23" s="172" t="s">
        <v>240</v>
      </c>
      <c r="C23" s="167">
        <v>0.4</v>
      </c>
      <c r="D23" s="173">
        <v>0.6</v>
      </c>
      <c r="G23" s="434"/>
    </row>
    <row r="24" spans="2:10" ht="21" thickBot="1">
      <c r="B24" s="632" t="s">
        <v>241</v>
      </c>
      <c r="C24" s="633"/>
      <c r="D24" s="432">
        <f>(C23*C22)+(D23*D22)</f>
        <v>0.10102533159189361</v>
      </c>
      <c r="E24" s="434"/>
      <c r="F24" s="434"/>
      <c r="G24" s="434"/>
    </row>
    <row r="25" spans="2:10" ht="16.899999999999999" customHeight="1">
      <c r="B25" s="434"/>
      <c r="C25" s="434"/>
      <c r="D25" s="434"/>
      <c r="E25" s="434"/>
      <c r="F25" s="434"/>
      <c r="G25" s="434"/>
    </row>
    <row r="26" spans="2:10" ht="22.15" customHeight="1">
      <c r="G26" s="434"/>
      <c r="H26" s="434"/>
      <c r="I26" s="434"/>
    </row>
    <row r="27" spans="2:10" ht="14.25" customHeight="1">
      <c r="G27" s="434"/>
      <c r="H27" s="434"/>
      <c r="I27" s="434"/>
    </row>
    <row r="28" spans="2:10" ht="14.25" customHeight="1"/>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7">
    <mergeCell ref="I3:K3"/>
    <mergeCell ref="I9:J9"/>
    <mergeCell ref="B20:D20"/>
    <mergeCell ref="B24:C24"/>
    <mergeCell ref="B12:F12"/>
    <mergeCell ref="B17:C17"/>
    <mergeCell ref="D17:F17"/>
  </mergeCells>
  <conditionalFormatting sqref="B2:F2">
    <cfRule type="notContainsBlanks" dxfId="0" priority="1">
      <formula>LEN(TRIM(B2))&gt;0</formula>
    </cfRule>
  </conditionalFormatting>
  <pageMargins left="0.7" right="0.7" top="0.75" bottom="0.75" header="0" footer="0"/>
  <pageSetup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K1001"/>
  <sheetViews>
    <sheetView showGridLines="0" zoomScale="90" zoomScaleNormal="90" workbookViewId="0">
      <selection activeCell="D27" sqref="A1:XFD1048576"/>
    </sheetView>
  </sheetViews>
  <sheetFormatPr defaultColWidth="12.625" defaultRowHeight="15" customHeight="1"/>
  <cols>
    <col min="1" max="1" width="8.625" style="433" customWidth="1"/>
    <col min="2" max="2" width="49.125" style="433" bestFit="1" customWidth="1"/>
    <col min="3" max="3" width="24.75" style="433" bestFit="1" customWidth="1"/>
    <col min="4" max="4" width="17.75" style="433" customWidth="1"/>
    <col min="5" max="5" width="28.25" style="433" bestFit="1" customWidth="1"/>
    <col min="6" max="6" width="19.75" style="433" customWidth="1"/>
    <col min="7" max="7" width="25.125" style="433" customWidth="1"/>
    <col min="8" max="8" width="19.5" style="433" customWidth="1"/>
    <col min="9" max="10" width="17.75" style="433" customWidth="1"/>
    <col min="11" max="11" width="14.25" style="433" customWidth="1"/>
    <col min="12" max="12" width="9.75" style="433" customWidth="1"/>
    <col min="13" max="26" width="8.625" style="433" customWidth="1"/>
    <col min="27" max="16384" width="12.625" style="433"/>
  </cols>
  <sheetData>
    <row r="1" spans="1:8" ht="27.75" customHeight="1" thickBot="1">
      <c r="B1" s="639" t="s">
        <v>250</v>
      </c>
      <c r="C1" s="640"/>
      <c r="D1" s="640"/>
      <c r="E1" s="640"/>
      <c r="F1" s="640"/>
      <c r="G1" s="640"/>
    </row>
    <row r="2" spans="1:8" ht="28.5" customHeight="1">
      <c r="A2" s="492" t="s">
        <v>78</v>
      </c>
      <c r="B2" s="641" t="s">
        <v>79</v>
      </c>
      <c r="C2" s="642"/>
      <c r="D2" s="642"/>
      <c r="E2" s="642"/>
      <c r="F2" s="642"/>
      <c r="G2" s="642"/>
      <c r="H2" s="493"/>
    </row>
    <row r="3" spans="1:8" ht="14.25" customHeight="1">
      <c r="A3" s="438"/>
      <c r="B3" s="494"/>
      <c r="C3" s="495" t="s">
        <v>80</v>
      </c>
      <c r="D3" s="496" t="s">
        <v>81</v>
      </c>
      <c r="E3" s="496" t="s">
        <v>82</v>
      </c>
      <c r="F3" s="496" t="s">
        <v>83</v>
      </c>
      <c r="G3" s="497" t="s">
        <v>84</v>
      </c>
      <c r="H3" s="493"/>
    </row>
    <row r="4" spans="1:8" ht="14.25" customHeight="1">
      <c r="A4" s="438"/>
      <c r="B4" s="498" t="s">
        <v>85</v>
      </c>
      <c r="C4" s="499"/>
      <c r="D4" s="499"/>
      <c r="E4" s="499"/>
      <c r="F4" s="499"/>
      <c r="G4" s="500"/>
      <c r="H4" s="493"/>
    </row>
    <row r="5" spans="1:8" ht="14.25" customHeight="1">
      <c r="A5" s="438"/>
      <c r="B5" s="501" t="s">
        <v>86</v>
      </c>
      <c r="C5" s="502">
        <f>'Cashflow Statement'!B10</f>
        <v>38043324639</v>
      </c>
      <c r="D5" s="502">
        <f>'Cashflow Statement'!C10</f>
        <v>41656629503</v>
      </c>
      <c r="E5" s="502">
        <f>'Cashflow Statement'!D10</f>
        <v>46420785922</v>
      </c>
      <c r="F5" s="502">
        <f>'Cashflow Statement'!E10</f>
        <v>51161723791</v>
      </c>
      <c r="G5" s="502">
        <f>'Cashflow Statement'!F10</f>
        <v>52944903655</v>
      </c>
      <c r="H5" s="493"/>
    </row>
    <row r="6" spans="1:8" ht="14.25" customHeight="1">
      <c r="A6" s="438"/>
      <c r="B6" s="501" t="str">
        <f>'Cashflow Statement'!A12</f>
        <v>Purchase of raw and packing materials</v>
      </c>
      <c r="C6" s="502">
        <f>-'Cashflow Statement'!B12</f>
        <v>-12055106675</v>
      </c>
      <c r="D6" s="502">
        <f>-'Cashflow Statement'!C12</f>
        <v>-12448372527</v>
      </c>
      <c r="E6" s="502">
        <f>-'Cashflow Statement'!D12</f>
        <v>-14895596440</v>
      </c>
      <c r="F6" s="502">
        <f>-'Cashflow Statement'!E12</f>
        <v>-15619769171</v>
      </c>
      <c r="G6" s="502">
        <f>-'Cashflow Statement'!F12</f>
        <v>-17024316320</v>
      </c>
      <c r="H6" s="493"/>
    </row>
    <row r="7" spans="1:8" ht="14.25" customHeight="1">
      <c r="A7" s="438"/>
      <c r="B7" s="501" t="str">
        <f>'Cashflow Statement'!A13</f>
        <v>Manufacturing and operating expenses</v>
      </c>
      <c r="C7" s="502">
        <f>-'Cashflow Statement'!B13</f>
        <v>-8466672238</v>
      </c>
      <c r="D7" s="502">
        <f>-'Cashflow Statement'!C13</f>
        <v>-9708309353</v>
      </c>
      <c r="E7" s="502">
        <f>-'Cashflow Statement'!D13</f>
        <v>-11222587267</v>
      </c>
      <c r="F7" s="502">
        <f>-'Cashflow Statement'!E13</f>
        <v>-11773729181</v>
      </c>
      <c r="G7" s="502">
        <f>-'Cashflow Statement'!F13</f>
        <v>-13446602730</v>
      </c>
      <c r="H7" s="493"/>
    </row>
    <row r="8" spans="1:8" ht="14.25" customHeight="1">
      <c r="A8" s="438"/>
      <c r="B8" s="501" t="str">
        <f>'Cashflow Statement'!A14</f>
        <v>Value added tax</v>
      </c>
      <c r="C8" s="502">
        <f>-'Cashflow Statement'!B14</f>
        <v>-5251839594</v>
      </c>
      <c r="D8" s="502">
        <f>-'Cashflow Statement'!C14</f>
        <v>-5741535424</v>
      </c>
      <c r="E8" s="502">
        <f>-'Cashflow Statement'!D14</f>
        <v>-6233127665</v>
      </c>
      <c r="F8" s="502">
        <f>-'Cashflow Statement'!E14</f>
        <v>-6833233083</v>
      </c>
      <c r="G8" s="502">
        <f>-'Cashflow Statement'!F14</f>
        <v>-7049769814</v>
      </c>
      <c r="H8" s="493"/>
    </row>
    <row r="9" spans="1:8" ht="14.25" customHeight="1">
      <c r="A9" s="438"/>
      <c r="B9" s="501" t="str">
        <f>'Cashflow Statement'!A15</f>
        <v>Finance Cost</v>
      </c>
      <c r="C9" s="502">
        <f>-'Cashflow Statement'!B15</f>
        <v>-5299871</v>
      </c>
      <c r="D9" s="502">
        <f>-'Cashflow Statement'!C15</f>
        <v>-154389</v>
      </c>
      <c r="E9" s="502">
        <f>-'Cashflow Statement'!D15</f>
        <v>-93599</v>
      </c>
      <c r="F9" s="502">
        <f>-'Cashflow Statement'!E15</f>
        <v>-95196</v>
      </c>
      <c r="G9" s="502">
        <f>-'Cashflow Statement'!F15</f>
        <v>-107090</v>
      </c>
      <c r="H9" s="493"/>
    </row>
    <row r="10" spans="1:8" ht="14.25" customHeight="1">
      <c r="A10" s="438"/>
      <c r="B10" s="501" t="str">
        <f>'Cashflow Statement'!A16</f>
        <v>Income tax expense</v>
      </c>
      <c r="C10" s="502">
        <f>-'Cashflow Statement'!B16</f>
        <v>-2047639860</v>
      </c>
      <c r="D10" s="502">
        <f>-'Cashflow Statement'!C16</f>
        <v>-3596322058</v>
      </c>
      <c r="E10" s="502">
        <f>-'Cashflow Statement'!D16</f>
        <v>-3480574440</v>
      </c>
      <c r="F10" s="502">
        <f>-'Cashflow Statement'!E16</f>
        <v>-3565244457</v>
      </c>
      <c r="G10" s="502">
        <f>-'Cashflow Statement'!F16</f>
        <v>-3830869094</v>
      </c>
      <c r="H10" s="493"/>
    </row>
    <row r="11" spans="1:8" ht="14.25" customHeight="1">
      <c r="A11" s="438"/>
      <c r="B11" s="501" t="str">
        <f>'Cashflow Statement'!A17</f>
        <v>Workers profit participation fund</v>
      </c>
      <c r="C11" s="502">
        <f>-'Cashflow Statement'!B17</f>
        <v>-510064512</v>
      </c>
      <c r="D11" s="502">
        <f>-'Cashflow Statement'!C17</f>
        <v>-616755878</v>
      </c>
      <c r="E11" s="502">
        <f>-'Cashflow Statement'!D17</f>
        <v>-526322070</v>
      </c>
      <c r="F11" s="502">
        <f>-'Cashflow Statement'!E17</f>
        <v>-867481244</v>
      </c>
      <c r="G11" s="502">
        <f>-'Cashflow Statement'!F17</f>
        <v>-802781404</v>
      </c>
      <c r="H11" s="493"/>
    </row>
    <row r="12" spans="1:8" ht="14.25" customHeight="1">
      <c r="A12" s="492"/>
      <c r="B12" s="501" t="str">
        <f>'Cashflow Statement'!A18</f>
        <v>others</v>
      </c>
      <c r="C12" s="502">
        <f>-'Cashflow Statement'!B18</f>
        <v>-91420912</v>
      </c>
      <c r="D12" s="502">
        <f>-'Cashflow Statement'!C18</f>
        <v>0</v>
      </c>
      <c r="E12" s="502">
        <f>-'Cashflow Statement'!D18</f>
        <v>-55472332</v>
      </c>
      <c r="F12" s="502">
        <f>-'Cashflow Statement'!E18</f>
        <v>-110378188</v>
      </c>
      <c r="G12" s="502">
        <f>-'Cashflow Statement'!F18</f>
        <v>-29685266</v>
      </c>
      <c r="H12" s="493"/>
    </row>
    <row r="13" spans="1:8" ht="14.25" customHeight="1">
      <c r="A13" s="438"/>
      <c r="B13" s="503"/>
      <c r="C13" s="504"/>
      <c r="D13" s="504"/>
      <c r="E13" s="504"/>
      <c r="F13" s="504"/>
      <c r="G13" s="505"/>
      <c r="H13" s="493"/>
    </row>
    <row r="14" spans="1:8" ht="14.25" customHeight="1">
      <c r="A14" s="438"/>
      <c r="B14" s="498" t="s">
        <v>87</v>
      </c>
      <c r="C14" s="506">
        <f>SUM(C5:C12)</f>
        <v>9615280977</v>
      </c>
      <c r="D14" s="506">
        <f t="shared" ref="D14:G14" si="0">SUM(D5:D12)</f>
        <v>9545179874</v>
      </c>
      <c r="E14" s="506">
        <f t="shared" si="0"/>
        <v>10007012109</v>
      </c>
      <c r="F14" s="506">
        <f t="shared" si="0"/>
        <v>12391793271</v>
      </c>
      <c r="G14" s="506">
        <f t="shared" si="0"/>
        <v>10760771937</v>
      </c>
      <c r="H14" s="493"/>
    </row>
    <row r="15" spans="1:8" ht="14.25" customHeight="1">
      <c r="A15" s="438"/>
      <c r="B15" s="503"/>
      <c r="C15" s="504"/>
      <c r="D15" s="504"/>
      <c r="E15" s="504"/>
      <c r="F15" s="504"/>
      <c r="G15" s="505"/>
      <c r="H15" s="493"/>
    </row>
    <row r="16" spans="1:8" ht="14.25" customHeight="1">
      <c r="A16" s="438"/>
      <c r="B16" s="498" t="s">
        <v>88</v>
      </c>
      <c r="C16" s="507"/>
      <c r="D16" s="507"/>
      <c r="E16" s="507"/>
      <c r="F16" s="507"/>
      <c r="G16" s="508"/>
      <c r="H16" s="493"/>
    </row>
    <row r="17" spans="1:11" ht="14.25" customHeight="1">
      <c r="A17" s="438"/>
      <c r="B17" s="501" t="str">
        <f>'Cashflow Statement'!A23</f>
        <v>Purchase of fixed assets</v>
      </c>
      <c r="C17" s="558">
        <f>'Cashflow Statement'!B23</f>
        <v>-2657669483</v>
      </c>
      <c r="D17" s="558">
        <f>'Cashflow Statement'!C23</f>
        <v>-2576915168</v>
      </c>
      <c r="E17" s="558">
        <f>'Cashflow Statement'!D23</f>
        <v>-3167173807</v>
      </c>
      <c r="F17" s="558">
        <f>'Cashflow Statement'!E23</f>
        <v>-2048539921</v>
      </c>
      <c r="G17" s="558">
        <f>'Cashflow Statement'!F23</f>
        <v>-2042104801</v>
      </c>
      <c r="H17" s="493"/>
    </row>
    <row r="18" spans="1:11" ht="14.25" customHeight="1">
      <c r="A18" s="438"/>
      <c r="B18" s="501" t="str">
        <f>'Cashflow Statement'!A24</f>
        <v>Disposal of fixed assets</v>
      </c>
      <c r="C18" s="558">
        <f>'Cashflow Statement'!B24</f>
        <v>66788805</v>
      </c>
      <c r="D18" s="558">
        <f>'Cashflow Statement'!C24</f>
        <v>46769925</v>
      </c>
      <c r="E18" s="558">
        <f>'Cashflow Statement'!D24</f>
        <v>49109965</v>
      </c>
      <c r="F18" s="558">
        <f>'Cashflow Statement'!E24</f>
        <v>66594884</v>
      </c>
      <c r="G18" s="558">
        <f>'Cashflow Statement'!F24</f>
        <v>60742370</v>
      </c>
      <c r="H18" s="493"/>
    </row>
    <row r="19" spans="1:11" ht="14.25" customHeight="1">
      <c r="A19" s="438"/>
      <c r="B19" s="503"/>
      <c r="C19" s="504"/>
      <c r="D19" s="504"/>
      <c r="E19" s="504"/>
      <c r="F19" s="504"/>
      <c r="G19" s="505"/>
      <c r="H19" s="493"/>
    </row>
    <row r="20" spans="1:11" ht="14.25" customHeight="1">
      <c r="B20" s="498" t="s">
        <v>89</v>
      </c>
      <c r="C20" s="506">
        <f>SUM(C17:C18)</f>
        <v>-2590880678</v>
      </c>
      <c r="D20" s="506">
        <f>SUM(D17:D18)</f>
        <v>-2530145243</v>
      </c>
      <c r="E20" s="506">
        <f>SUM(E17:E18)</f>
        <v>-3118063842</v>
      </c>
      <c r="F20" s="506">
        <f>SUM(F17:F18)</f>
        <v>-1981945037</v>
      </c>
      <c r="G20" s="506">
        <f>SUM(G17:G18)</f>
        <v>-1981362431</v>
      </c>
      <c r="H20" s="512"/>
      <c r="I20" s="512"/>
    </row>
    <row r="21" spans="1:11" ht="14.25" customHeight="1" thickBot="1">
      <c r="B21" s="509"/>
      <c r="C21" s="510"/>
      <c r="D21" s="510"/>
      <c r="E21" s="510"/>
      <c r="F21" s="510"/>
      <c r="G21" s="511"/>
      <c r="H21" s="512"/>
      <c r="I21" s="512"/>
    </row>
    <row r="22" spans="1:11" ht="14.25" customHeight="1" thickBot="1">
      <c r="B22" s="512"/>
      <c r="C22" s="512"/>
      <c r="D22" s="512"/>
      <c r="E22" s="512"/>
      <c r="F22" s="512"/>
      <c r="G22" s="512"/>
      <c r="H22" s="512"/>
      <c r="I22" s="512"/>
    </row>
    <row r="23" spans="1:11" ht="14.25" customHeight="1" thickBot="1">
      <c r="B23" s="513" t="s">
        <v>45</v>
      </c>
      <c r="C23" s="514">
        <f>-'Income Statement'!B24/'Income Statement'!B19</f>
        <v>0.23999322875267121</v>
      </c>
      <c r="D23" s="559">
        <f>-'Income Statement'!C24/'Income Statement'!C19</f>
        <v>0.23729667440346092</v>
      </c>
      <c r="E23" s="514">
        <f>-'Income Statement'!D24/'Income Statement'!D19</f>
        <v>0.24242217821592965</v>
      </c>
      <c r="F23" s="559">
        <f>-'Income Statement'!E24/'Income Statement'!E19</f>
        <v>0.2515944867669952</v>
      </c>
      <c r="G23" s="515">
        <f>-'Income Statement'!F24/'Income Statement'!F19</f>
        <v>0.2488241089006758</v>
      </c>
      <c r="H23" s="493"/>
    </row>
    <row r="24" spans="1:11" ht="14.25" customHeight="1" thickBot="1">
      <c r="H24" s="493"/>
    </row>
    <row r="25" spans="1:11" ht="14.25" customHeight="1">
      <c r="B25" s="516" t="s">
        <v>90</v>
      </c>
      <c r="C25" s="517">
        <f>(1-C23)*-'Income Statement'!B13</f>
        <v>4027937.8467373522</v>
      </c>
      <c r="D25" s="517">
        <f>(1-D23)*-'Income Statement'!C13</f>
        <v>117753.00373552408</v>
      </c>
      <c r="E25" s="517">
        <f>(1-E23)*-'Income Statement'!D13</f>
        <v>70908.526541167201</v>
      </c>
      <c r="F25" s="517">
        <f>(1-F23)*-'Income Statement'!E13</f>
        <v>71245.21123772912</v>
      </c>
      <c r="G25" s="517">
        <f>(1-G23)*-'Income Statement'!F13</f>
        <v>80443.426177826637</v>
      </c>
      <c r="H25" s="493"/>
    </row>
    <row r="26" spans="1:11" ht="14.25" customHeight="1">
      <c r="B26" s="560" t="s">
        <v>91</v>
      </c>
      <c r="C26" s="519">
        <f>C14+C20+C25</f>
        <v>7028428236.8467369</v>
      </c>
      <c r="D26" s="519">
        <f>D14+D20+D25</f>
        <v>7015152384.0037355</v>
      </c>
      <c r="E26" s="519">
        <f>E14+E20+E25</f>
        <v>6889019175.5265408</v>
      </c>
      <c r="F26" s="519">
        <f>F14+F20+F25</f>
        <v>10409919479.211237</v>
      </c>
      <c r="G26" s="519">
        <f>G14+G20+G25</f>
        <v>8779489949.426178</v>
      </c>
      <c r="H26" s="493"/>
    </row>
    <row r="27" spans="1:11">
      <c r="B27" s="520" t="s">
        <v>92</v>
      </c>
      <c r="C27" s="521"/>
      <c r="D27" s="561">
        <f>(D26-C26)/C26</f>
        <v>-1.8888793334194303E-3</v>
      </c>
      <c r="E27" s="561">
        <f t="shared" ref="E27:G27" si="1">(E26-D26)/D26</f>
        <v>-1.7980109564663109E-2</v>
      </c>
      <c r="F27" s="561">
        <f t="shared" si="1"/>
        <v>0.51108876517470092</v>
      </c>
      <c r="G27" s="561">
        <f t="shared" si="1"/>
        <v>-0.15662268406984808</v>
      </c>
      <c r="H27" s="493"/>
    </row>
    <row r="28" spans="1:11" ht="14.25" customHeight="1">
      <c r="B28" s="518" t="s">
        <v>93</v>
      </c>
      <c r="C28" s="522"/>
      <c r="D28" s="523">
        <v>0.25</v>
      </c>
      <c r="E28" s="523">
        <v>0.23</v>
      </c>
      <c r="F28" s="523">
        <v>0.37</v>
      </c>
      <c r="G28" s="524">
        <v>0.15</v>
      </c>
      <c r="H28" s="530"/>
      <c r="I28" s="530"/>
      <c r="J28" s="530"/>
      <c r="K28" s="531"/>
    </row>
    <row r="29" spans="1:11" ht="14.25" customHeight="1" thickBot="1">
      <c r="B29" s="525" t="s">
        <v>214</v>
      </c>
      <c r="C29" s="526">
        <f>D28*D27+E28*E27+F28*F27+G28*G27</f>
        <v>0.16100179547093474</v>
      </c>
      <c r="D29" s="527"/>
      <c r="E29" s="527"/>
      <c r="F29" s="527"/>
      <c r="G29" s="528"/>
    </row>
    <row r="30" spans="1:11" ht="14.25" customHeight="1">
      <c r="B30" s="529"/>
      <c r="C30" s="529"/>
      <c r="D30" s="529"/>
      <c r="E30" s="529"/>
      <c r="F30" s="529"/>
      <c r="G30" s="530"/>
    </row>
    <row r="31" spans="1:11" ht="14.25" customHeight="1" thickBot="1">
      <c r="D31" s="530"/>
      <c r="E31" s="530"/>
      <c r="F31" s="530"/>
      <c r="G31" s="531"/>
    </row>
    <row r="32" spans="1:11" ht="14.25" customHeight="1">
      <c r="B32" s="532"/>
      <c r="C32" s="533">
        <v>2021</v>
      </c>
      <c r="D32" s="533">
        <v>2022</v>
      </c>
      <c r="E32" s="533">
        <v>2023</v>
      </c>
      <c r="F32" s="534">
        <v>2024</v>
      </c>
      <c r="G32" s="531"/>
      <c r="H32" s="530"/>
      <c r="I32" s="530"/>
      <c r="J32" s="530"/>
      <c r="K32" s="531"/>
    </row>
    <row r="33" spans="2:11" ht="14.25" customHeight="1">
      <c r="B33" s="535" t="s">
        <v>91</v>
      </c>
      <c r="C33" s="536">
        <f>G26*(1+C29)</f>
        <v>10193003594.602818</v>
      </c>
      <c r="D33" s="536">
        <f>C33*(1+C29)</f>
        <v>11834095474.575562</v>
      </c>
      <c r="E33" s="536">
        <f>D33*(1+C29)</f>
        <v>13739406093.756689</v>
      </c>
      <c r="F33" s="537">
        <f>E33*(1+C29)</f>
        <v>15951475143.555817</v>
      </c>
      <c r="G33" s="531"/>
      <c r="H33" s="530"/>
      <c r="I33" s="530"/>
      <c r="J33" s="530"/>
      <c r="K33" s="531"/>
    </row>
    <row r="34" spans="2:11" ht="14.25" customHeight="1">
      <c r="B34" s="535" t="s">
        <v>96</v>
      </c>
      <c r="C34" s="536"/>
      <c r="D34" s="536"/>
      <c r="E34" s="536"/>
      <c r="F34" s="538">
        <f>F33*((1+F39)/(F41-F39))</f>
        <v>380158913633.22607</v>
      </c>
      <c r="G34" s="530"/>
      <c r="H34" s="543"/>
      <c r="I34" s="542"/>
      <c r="J34" s="542"/>
      <c r="K34" s="493"/>
    </row>
    <row r="35" spans="2:11" ht="14.25" customHeight="1" thickBot="1">
      <c r="B35" s="539" t="s">
        <v>97</v>
      </c>
      <c r="C35" s="540">
        <f t="shared" ref="C35:F35" si="2">C33+C34</f>
        <v>10193003594.602818</v>
      </c>
      <c r="D35" s="540">
        <f t="shared" si="2"/>
        <v>11834095474.575562</v>
      </c>
      <c r="E35" s="540">
        <f t="shared" si="2"/>
        <v>13739406093.756689</v>
      </c>
      <c r="F35" s="541">
        <f t="shared" si="2"/>
        <v>396110388776.78186</v>
      </c>
      <c r="G35" s="530"/>
      <c r="J35" s="542"/>
      <c r="K35" s="493"/>
    </row>
    <row r="36" spans="2:11" ht="14.25" customHeight="1">
      <c r="G36" s="542"/>
      <c r="H36" s="542"/>
      <c r="I36" s="493"/>
    </row>
    <row r="37" spans="2:11" ht="14.25" customHeight="1" thickBot="1">
      <c r="G37" s="542"/>
      <c r="H37" s="542"/>
      <c r="I37" s="493"/>
    </row>
    <row r="38" spans="2:11" ht="33.75" customHeight="1">
      <c r="B38" s="544" t="s">
        <v>76</v>
      </c>
      <c r="C38" s="545">
        <f>NPV(F41,C35:F35)*(1+F41)^0.5</f>
        <v>310359294136.93713</v>
      </c>
      <c r="E38" s="546" t="s">
        <v>94</v>
      </c>
      <c r="F38" s="547">
        <f>C29</f>
        <v>0.16100179547093474</v>
      </c>
      <c r="H38" s="542"/>
      <c r="I38" s="493"/>
    </row>
    <row r="39" spans="2:11" ht="14.25" customHeight="1">
      <c r="B39" s="548" t="str">
        <f>EMV!B14</f>
        <v>Share Price as of July 06, 2021</v>
      </c>
      <c r="C39" s="549">
        <f>EMV!C14</f>
        <v>217.9</v>
      </c>
      <c r="E39" s="550" t="s">
        <v>95</v>
      </c>
      <c r="F39" s="551">
        <v>0.06</v>
      </c>
      <c r="H39" s="542"/>
      <c r="I39" s="542"/>
      <c r="J39" s="542"/>
      <c r="K39" s="493"/>
    </row>
    <row r="40" spans="2:11" ht="24.75" customHeight="1" thickBot="1">
      <c r="B40" s="552" t="s">
        <v>98</v>
      </c>
      <c r="C40" s="553">
        <f>C38/F40</f>
        <v>367.62015592144888</v>
      </c>
      <c r="D40" s="542"/>
      <c r="E40" s="554" t="s">
        <v>75</v>
      </c>
      <c r="F40" s="555">
        <f>EBV!C58</f>
        <v>844239058</v>
      </c>
      <c r="G40" s="542"/>
      <c r="H40" s="542"/>
      <c r="I40" s="542"/>
      <c r="J40" s="542"/>
      <c r="K40" s="493"/>
    </row>
    <row r="41" spans="2:11" ht="14.25" customHeight="1" thickBot="1">
      <c r="B41" s="542"/>
      <c r="C41" s="542"/>
      <c r="D41" s="542"/>
      <c r="E41" s="556" t="s">
        <v>74</v>
      </c>
      <c r="F41" s="557">
        <f>WACC!K9</f>
        <v>0.1044776198736784</v>
      </c>
      <c r="G41" s="542"/>
      <c r="H41" s="542"/>
      <c r="I41" s="542"/>
      <c r="J41" s="542"/>
      <c r="K41" s="493"/>
    </row>
    <row r="42" spans="2:11" ht="14.25">
      <c r="F42" s="542"/>
      <c r="G42" s="542"/>
      <c r="H42" s="542"/>
      <c r="I42" s="542"/>
      <c r="J42" s="542"/>
      <c r="K42" s="493"/>
    </row>
    <row r="43" spans="2:11" ht="14.25" customHeight="1">
      <c r="F43" s="542"/>
      <c r="G43" s="542"/>
      <c r="H43" s="542"/>
      <c r="I43" s="542"/>
      <c r="J43" s="542"/>
      <c r="K43" s="493"/>
    </row>
    <row r="44" spans="2:11" ht="14.25" customHeight="1">
      <c r="F44" s="542"/>
      <c r="G44" s="542"/>
      <c r="H44" s="542"/>
      <c r="I44" s="542"/>
      <c r="J44" s="542"/>
      <c r="K44" s="493"/>
    </row>
    <row r="45" spans="2:11" ht="14.25" customHeight="1">
      <c r="D45" s="542"/>
      <c r="E45" s="542"/>
      <c r="F45" s="542"/>
      <c r="G45" s="542"/>
      <c r="H45" s="466"/>
      <c r="I45" s="466"/>
      <c r="J45" s="466"/>
    </row>
    <row r="46" spans="2:11" ht="14.25" customHeight="1">
      <c r="D46" s="542"/>
      <c r="E46" s="542"/>
      <c r="F46" s="542"/>
      <c r="G46" s="542"/>
      <c r="H46" s="466"/>
      <c r="I46" s="466"/>
      <c r="J46" s="466"/>
    </row>
    <row r="47" spans="2:11" ht="14.25" customHeight="1">
      <c r="D47" s="466"/>
      <c r="E47" s="466"/>
      <c r="F47" s="466"/>
      <c r="G47" s="466"/>
      <c r="H47" s="466"/>
      <c r="I47" s="466"/>
      <c r="J47" s="466"/>
    </row>
    <row r="48" spans="2:11" ht="14.25" customHeight="1">
      <c r="D48" s="466"/>
      <c r="E48" s="466"/>
      <c r="F48" s="466"/>
      <c r="G48" s="466"/>
    </row>
    <row r="49" spans="4:7" ht="14.25" customHeight="1">
      <c r="D49" s="466"/>
      <c r="E49" s="466"/>
      <c r="F49" s="466"/>
      <c r="G49" s="466"/>
    </row>
    <row r="50" spans="4:7" ht="14.25" customHeight="1"/>
    <row r="51" spans="4:7" ht="14.25" customHeight="1"/>
    <row r="52" spans="4:7" ht="14.25" customHeight="1"/>
    <row r="53" spans="4:7" ht="14.25" customHeight="1"/>
    <row r="54" spans="4:7" ht="14.25" customHeight="1"/>
    <row r="55" spans="4:7" ht="14.25" customHeight="1"/>
    <row r="56" spans="4:7" ht="14.25" customHeight="1"/>
    <row r="57" spans="4:7" ht="14.25" customHeight="1"/>
    <row r="58" spans="4:7" ht="14.25" customHeight="1"/>
    <row r="59" spans="4:7" ht="14.25" customHeight="1"/>
    <row r="60" spans="4:7" ht="14.25" customHeight="1"/>
    <row r="61" spans="4:7" ht="14.25" customHeight="1"/>
    <row r="62" spans="4:7" ht="14.25" customHeight="1"/>
    <row r="63" spans="4:7" ht="14.25" customHeight="1"/>
    <row r="64" spans="4: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
    <mergeCell ref="B1:G1"/>
    <mergeCell ref="B2:G2"/>
  </mergeCells>
  <pageMargins left="0.7" right="0.7" top="0.75" bottom="0.75" header="0" footer="0"/>
  <pageSetup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76F8B"/>
  </sheetPr>
  <dimension ref="B1:P998"/>
  <sheetViews>
    <sheetView showGridLines="0" topLeftCell="B85" zoomScaleNormal="100" workbookViewId="0">
      <selection activeCell="H94" sqref="H94"/>
    </sheetView>
  </sheetViews>
  <sheetFormatPr defaultColWidth="12.625" defaultRowHeight="15" customHeight="1"/>
  <cols>
    <col min="1" max="1" width="8.625" style="701" customWidth="1"/>
    <col min="2" max="2" width="54.125" style="701" customWidth="1"/>
    <col min="3" max="3" width="21.625" style="701" bestFit="1" customWidth="1"/>
    <col min="4" max="4" width="24.875" style="701" bestFit="1" customWidth="1"/>
    <col min="5" max="5" width="21.625" style="701" bestFit="1" customWidth="1"/>
    <col min="6" max="6" width="23.75" style="701" bestFit="1" customWidth="1"/>
    <col min="7" max="7" width="21.125" style="701" bestFit="1" customWidth="1"/>
    <col min="8" max="8" width="16.25" style="701" bestFit="1" customWidth="1"/>
    <col min="9" max="9" width="14.5" style="701" customWidth="1"/>
    <col min="10" max="10" width="45" style="701" customWidth="1"/>
    <col min="11" max="11" width="14.25" style="701" customWidth="1"/>
    <col min="12" max="12" width="14.625" style="701" customWidth="1"/>
    <col min="13" max="14" width="13.25" style="701" customWidth="1"/>
    <col min="15" max="15" width="14.25" style="701" customWidth="1"/>
    <col min="16" max="16" width="17.75" style="701" customWidth="1"/>
    <col min="17" max="17" width="9.75" style="701" customWidth="1"/>
    <col min="18" max="18" width="10.25" style="701" customWidth="1"/>
    <col min="19" max="19" width="10.5" style="701" customWidth="1"/>
    <col min="20" max="27" width="8.625" style="701" customWidth="1"/>
    <col min="28" max="16384" width="12.625" style="701"/>
  </cols>
  <sheetData>
    <row r="1" spans="2:8" thickBot="1">
      <c r="B1" s="700"/>
    </row>
    <row r="2" spans="2:8" ht="23.25">
      <c r="B2" s="658" t="s">
        <v>30</v>
      </c>
      <c r="C2" s="659"/>
      <c r="D2" s="659"/>
      <c r="E2" s="659"/>
      <c r="F2" s="659"/>
      <c r="G2" s="660"/>
      <c r="H2" s="661"/>
    </row>
    <row r="3" spans="2:8" ht="20.25">
      <c r="B3" s="643" t="s">
        <v>31</v>
      </c>
      <c r="C3" s="644"/>
      <c r="D3" s="644"/>
      <c r="E3" s="644"/>
      <c r="F3" s="644"/>
      <c r="G3" s="645"/>
      <c r="H3" s="44"/>
    </row>
    <row r="4" spans="2:8" ht="15.75">
      <c r="B4" s="702"/>
      <c r="C4" s="80">
        <v>2016</v>
      </c>
      <c r="D4" s="81">
        <v>2017</v>
      </c>
      <c r="E4" s="80">
        <v>2018</v>
      </c>
      <c r="F4" s="81">
        <v>2019</v>
      </c>
      <c r="G4" s="82">
        <v>2020</v>
      </c>
      <c r="H4" s="662" t="s">
        <v>32</v>
      </c>
    </row>
    <row r="5" spans="2:8" ht="15.75">
      <c r="B5" s="703" t="s">
        <v>314</v>
      </c>
      <c r="C5" s="663"/>
      <c r="D5" s="664">
        <f>('Income Statement'!C7/'Income Statement'!B7)-1</f>
        <v>0.1048982478556475</v>
      </c>
      <c r="E5" s="665">
        <f>('Income Statement'!D7/'Income Statement'!C7)-1</f>
        <v>8.5123815933082714E-2</v>
      </c>
      <c r="F5" s="664">
        <f>('Income Statement'!E7/'Income Statement'!D7)-1</f>
        <v>0.11045093122357597</v>
      </c>
      <c r="G5" s="665">
        <f>('Income Statement'!F7/'Income Statement'!E7)-1</f>
        <v>4.1850158466192111E-2</v>
      </c>
      <c r="H5" s="666">
        <f>(0.3*D5)+(0.15*E5)+(0.45*F5)+(0.1*G5)</f>
        <v>9.8125981643885057E-2</v>
      </c>
    </row>
    <row r="6" spans="2:8" ht="15.75">
      <c r="B6" s="703" t="s">
        <v>11</v>
      </c>
      <c r="C6" s="663"/>
      <c r="D6" s="664">
        <f>('Balance Sheet'!C19/'Balance Sheet'!B19)-1</f>
        <v>0.35822141644256233</v>
      </c>
      <c r="E6" s="665">
        <f>('Balance Sheet'!D19/'Balance Sheet'!C19)-1</f>
        <v>0.22720680182765629</v>
      </c>
      <c r="F6" s="664">
        <f>('Balance Sheet'!E19/'Balance Sheet'!D19)-1</f>
        <v>0.35054737235422451</v>
      </c>
      <c r="G6" s="665">
        <f>('Balance Sheet'!F19/'Balance Sheet'!E19)-1</f>
        <v>0.23359222885058339</v>
      </c>
      <c r="H6" s="666">
        <f>(0.3*D6)+(0.2*E6)+(0.4*F6)+(0.1*G6)</f>
        <v>0.31648595712504812</v>
      </c>
    </row>
    <row r="7" spans="2:8" ht="15.75">
      <c r="B7" s="703" t="s">
        <v>315</v>
      </c>
      <c r="C7" s="663"/>
      <c r="D7" s="664">
        <f>('Balance Sheet'!C11/'Balance Sheet'!B11)-1</f>
        <v>7.7635394880344322E-2</v>
      </c>
      <c r="E7" s="665">
        <f>('Balance Sheet'!D11/'Balance Sheet'!C11)-1</f>
        <v>0.11841991997603274</v>
      </c>
      <c r="F7" s="664">
        <f>('Balance Sheet'!E11/'Balance Sheet'!D11)-1</f>
        <v>2.7502435115651425E-2</v>
      </c>
      <c r="G7" s="665">
        <f>('Balance Sheet'!F11/'Balance Sheet'!E11)-1</f>
        <v>2.0792658232752448E-2</v>
      </c>
      <c r="H7" s="666">
        <f>(0.3*D7)+(0.3*E7)+(0.3*F7)+(0.1*G7)</f>
        <v>6.9146590814883793E-2</v>
      </c>
    </row>
    <row r="8" spans="2:8" ht="15.75">
      <c r="B8" s="703" t="s">
        <v>316</v>
      </c>
      <c r="C8" s="663">
        <f>C30/'Balance Sheet'!B6</f>
        <v>0.10668777765370864</v>
      </c>
      <c r="D8" s="664">
        <f>D30/'Balance Sheet'!C6</f>
        <v>0.10191665691789778</v>
      </c>
      <c r="E8" s="663">
        <f>E30/'Balance Sheet'!D6</f>
        <v>9.7244735677517222E-2</v>
      </c>
      <c r="F8" s="664">
        <f>F30/'Balance Sheet'!E6</f>
        <v>9.7234135707718161E-2</v>
      </c>
      <c r="G8" s="663">
        <f>G30/'Balance Sheet'!F6</f>
        <v>9.4383182299114521E-2</v>
      </c>
      <c r="H8" s="666">
        <f>(0.1*D8)+(0.2*E8)+(0.4*F8)+(0.3*G8)</f>
        <v>9.6849221800114849E-2</v>
      </c>
    </row>
    <row r="9" spans="2:8" ht="15.75">
      <c r="B9" s="703" t="s">
        <v>8</v>
      </c>
      <c r="C9" s="663"/>
      <c r="D9" s="664">
        <f>('Balance Sheet'!C6/'Balance Sheet'!B6)-1</f>
        <v>2.5216410784543619E-2</v>
      </c>
      <c r="E9" s="665">
        <f>('Balance Sheet'!D6/'Balance Sheet'!C6)-1</f>
        <v>6.3232083155136731E-2</v>
      </c>
      <c r="F9" s="664">
        <f>('Balance Sheet'!E6/'Balance Sheet'!D6)-1</f>
        <v>1.5016406197376764E-2</v>
      </c>
      <c r="G9" s="665">
        <f>('Balance Sheet'!F6/'Balance Sheet'!E6)-1</f>
        <v>9.4668036819478552E-4</v>
      </c>
      <c r="H9" s="666">
        <f>(0.2*D9)+(0.3*E9)+(0.3*F9)+(0.2*G9)</f>
        <v>2.8707165036301732E-2</v>
      </c>
    </row>
    <row r="10" spans="2:8" ht="15.75">
      <c r="B10" s="703" t="s">
        <v>317</v>
      </c>
      <c r="C10" s="663"/>
      <c r="D10" s="664">
        <f>('Balance Sheet'!C14/'Balance Sheet'!B14)-1</f>
        <v>9.7699533577171316E-3</v>
      </c>
      <c r="E10" s="665">
        <f>('Balance Sheet'!D14/'Balance Sheet'!C14)-1</f>
        <v>0.18819698823100306</v>
      </c>
      <c r="F10" s="664">
        <f>('Balance Sheet'!E14/'Balance Sheet'!D14)-1</f>
        <v>3.6900507371693925E-2</v>
      </c>
      <c r="G10" s="665">
        <f>('Balance Sheet'!F14/'Balance Sheet'!E14)-1</f>
        <v>0.23733071865719624</v>
      </c>
      <c r="H10" s="666">
        <f>(0.2*D10)+(0.3*E10)+(0.3*F10)+(0.2*G10)</f>
        <v>0.11694938308379177</v>
      </c>
    </row>
    <row r="11" spans="2:8" ht="15.75">
      <c r="B11" s="703" t="s">
        <v>13</v>
      </c>
      <c r="C11" s="663"/>
      <c r="D11" s="664">
        <f>('Balance Sheet'!C40/'Balance Sheet'!B40)-1</f>
        <v>0.21607826741524905</v>
      </c>
      <c r="E11" s="665">
        <f>('Balance Sheet'!D40/'Balance Sheet'!C40)-1</f>
        <v>-0.37829960792216555</v>
      </c>
      <c r="F11" s="664">
        <f>('Balance Sheet'!E40/'Balance Sheet'!D40)-1</f>
        <v>0.366535237272541</v>
      </c>
      <c r="G11" s="665">
        <f>('Balance Sheet'!F40/'Balance Sheet'!E40)-1</f>
        <v>-0.22762282573408565</v>
      </c>
      <c r="H11" s="666">
        <f>(0.2*D11)+(0.2*E11)+(0.4*F11)+(0.2*G11)</f>
        <v>6.8645261660815984E-2</v>
      </c>
    </row>
    <row r="12" spans="2:8" ht="15.75">
      <c r="B12" s="703" t="s">
        <v>328</v>
      </c>
      <c r="C12" s="663">
        <f>'Balance Sheet'!B7/'Balance Sheet'!B11</f>
        <v>2.0406228832284604E-2</v>
      </c>
      <c r="D12" s="664">
        <f>'Balance Sheet'!C7/'Balance Sheet'!C11</f>
        <v>2.0058051696792558E-2</v>
      </c>
      <c r="E12" s="663">
        <f>'Balance Sheet'!D7/'Balance Sheet'!D11</f>
        <v>2.8654048260585076E-2</v>
      </c>
      <c r="F12" s="664">
        <f>'Balance Sheet'!E7/'Balance Sheet'!E11</f>
        <v>1.9428490480416647E-2</v>
      </c>
      <c r="G12" s="663">
        <f>'Balance Sheet'!F7/'Balance Sheet'!F11</f>
        <v>8.1078347353865557E-2</v>
      </c>
      <c r="H12" s="666">
        <f>AVERAGE(C12:G12)</f>
        <v>3.392503332478889E-2</v>
      </c>
    </row>
    <row r="13" spans="2:8" ht="15.75">
      <c r="B13" s="703" t="s">
        <v>329</v>
      </c>
      <c r="C13" s="663">
        <f>'Balance Sheet'!B9/('Balance Sheet'!B6+'Balance Sheet'!B7+'Balance Sheet'!B8)</f>
        <v>4.0954910977280455E-2</v>
      </c>
      <c r="D13" s="664">
        <f>'Balance Sheet'!C9/('Balance Sheet'!C6+'Balance Sheet'!C7+'Balance Sheet'!C8)</f>
        <v>7.069366263446146E-2</v>
      </c>
      <c r="E13" s="663">
        <f>'Balance Sheet'!D9/('Balance Sheet'!D6+'Balance Sheet'!D7+'Balance Sheet'!D8)</f>
        <v>9.6565923280669208E-2</v>
      </c>
      <c r="F13" s="664">
        <f>'Balance Sheet'!E9/('Balance Sheet'!E6+'Balance Sheet'!E7+'Balance Sheet'!E8)</f>
        <v>9.8090641510835241E-2</v>
      </c>
      <c r="G13" s="663">
        <f>'Balance Sheet'!F9/('Balance Sheet'!F6+'Balance Sheet'!F7+'Balance Sheet'!F8)</f>
        <v>8.480226613243981E-2</v>
      </c>
      <c r="H13" s="666">
        <f>AVERAGE(C13:G13)</f>
        <v>7.8221480907137236E-2</v>
      </c>
    </row>
    <row r="14" spans="2:8" ht="15.75">
      <c r="B14" s="703" t="s">
        <v>14</v>
      </c>
      <c r="C14" s="663"/>
      <c r="D14" s="664">
        <f>('Balance Sheet'!C16/'Balance Sheet'!B16)-1</f>
        <v>0.28249334135072468</v>
      </c>
      <c r="E14" s="665">
        <f>('Balance Sheet'!D16/'Balance Sheet'!C16)-1</f>
        <v>0.57185953872757933</v>
      </c>
      <c r="F14" s="664">
        <f>('Balance Sheet'!E16/'Balance Sheet'!D16)-1</f>
        <v>1.3825960934255699E-2</v>
      </c>
      <c r="G14" s="665">
        <f>('Balance Sheet'!F16/'Balance Sheet'!E16)-1</f>
        <v>0.17979710021634521</v>
      </c>
      <c r="H14" s="666">
        <f>(0.2*D14)+(0.15*E14)+(0.15*F14)+(0.5*G14)</f>
        <v>0.23425004332759281</v>
      </c>
    </row>
    <row r="15" spans="2:8" ht="15.75">
      <c r="B15" s="703" t="s">
        <v>318</v>
      </c>
      <c r="C15" s="663">
        <f>ABS('Income Statement'!B24/'Balance Sheet'!B35)</f>
        <v>2.4814702681795411</v>
      </c>
      <c r="D15" s="664">
        <f>ABS('Income Statement'!C24/'Balance Sheet'!C35)</f>
        <v>2.6778212340263137</v>
      </c>
      <c r="E15" s="663">
        <f>ABS('Income Statement'!D24/'Balance Sheet'!D35)</f>
        <v>2.7267948008275225</v>
      </c>
      <c r="F15" s="664">
        <f>ABS('Income Statement'!E24/'Balance Sheet'!E35)</f>
        <v>3.0441554216973801</v>
      </c>
      <c r="G15" s="665">
        <f>ABS('Income Statement'!F24/'Balance Sheet'!F35)</f>
        <v>3.3230471461135416</v>
      </c>
      <c r="H15" s="666">
        <f>AVERAGE(C15:G15)</f>
        <v>2.8506577741688597</v>
      </c>
    </row>
    <row r="16" spans="2:8" ht="15.75">
      <c r="B16" s="703" t="s">
        <v>319</v>
      </c>
      <c r="C16" s="663">
        <f>('Balance Sheet'!B39+'Balance Sheet'!B41+'Balance Sheet'!B42)/'Balance Sheet'!B32</f>
        <v>4.9269685743599009E-2</v>
      </c>
      <c r="D16" s="664">
        <f>('Balance Sheet'!C39+'Balance Sheet'!C41+'Balance Sheet'!C42)/'Balance Sheet'!C32</f>
        <v>3.0952028516533999E-2</v>
      </c>
      <c r="E16" s="663">
        <f>('Balance Sheet'!D39+'Balance Sheet'!D41+'Balance Sheet'!D42)/'Balance Sheet'!D32</f>
        <v>2.8983463526954228E-2</v>
      </c>
      <c r="F16" s="664">
        <f>('Balance Sheet'!E39+'Balance Sheet'!E41+'Balance Sheet'!E42)/'Balance Sheet'!E32</f>
        <v>3.3206829797796704E-2</v>
      </c>
      <c r="G16" s="663">
        <f>('Balance Sheet'!F39+'Balance Sheet'!F41+'Balance Sheet'!F42)/'Balance Sheet'!F32</f>
        <v>3.476790568413958E-2</v>
      </c>
      <c r="H16" s="666">
        <f>(0.1*D16)+(0.2*E16)+(0.4*F16)+(0.3*G16)</f>
        <v>3.2604999181404803E-2</v>
      </c>
    </row>
    <row r="17" spans="2:16" ht="15.75">
      <c r="B17" s="703" t="s">
        <v>325</v>
      </c>
      <c r="C17" s="663"/>
      <c r="D17" s="664">
        <f>(('Balance Sheet'!C39+'Balance Sheet'!C41+'Balance Sheet'!C42)/('Balance Sheet'!B39+'Balance Sheet'!B41+'Balance Sheet'!B42))-1</f>
        <v>-0.24053835109735056</v>
      </c>
      <c r="E17" s="663">
        <f>(('Balance Sheet'!D39+'Balance Sheet'!D41+'Balance Sheet'!D42)/('Balance Sheet'!C39+'Balance Sheet'!C41+'Balance Sheet'!C42))-1</f>
        <v>0.10426153188014586</v>
      </c>
      <c r="F17" s="664">
        <f>(('Balance Sheet'!E39+'Balance Sheet'!E41+'Balance Sheet'!E42)/('Balance Sheet'!D39+'Balance Sheet'!D41+'Balance Sheet'!D42))-1</f>
        <v>0.34514969179095711</v>
      </c>
      <c r="G17" s="663">
        <f>(('Balance Sheet'!F39+'Balance Sheet'!F41+'Balance Sheet'!F42)/('Balance Sheet'!E39+'Balance Sheet'!E41+'Balance Sheet'!E42))-1</f>
        <v>0.19238816803548864</v>
      </c>
      <c r="H17" s="666">
        <f>(0.05*D17)+(0.15*G17)+(0.4*F17)+(0.3*E17)</f>
        <v>0.18616964393088237</v>
      </c>
    </row>
    <row r="18" spans="2:16" ht="15.75">
      <c r="B18" s="703" t="s">
        <v>320</v>
      </c>
      <c r="C18" s="663">
        <f>'Balance Sheet'!B40/'Income Statement'!B7</f>
        <v>2.0982878451007492E-2</v>
      </c>
      <c r="D18" s="664">
        <f>'Balance Sheet'!C40/'Income Statement'!C7</f>
        <v>2.3094273632534232E-2</v>
      </c>
      <c r="E18" s="663">
        <f>'Balance Sheet'!D40/'Income Statement'!D7</f>
        <v>1.3231410795046762E-2</v>
      </c>
      <c r="F18" s="664">
        <f>'Balance Sheet'!E40/'Income Statement'!E7</f>
        <v>1.6282744767782319E-2</v>
      </c>
      <c r="G18" s="663">
        <f>'Balance Sheet'!F40/'Income Statement'!F7</f>
        <v>1.2071237203196061E-2</v>
      </c>
      <c r="H18" s="666">
        <f>(0.1*D18)+(0.2*E18)+(0.4*F18)+(0.3*G18)</f>
        <v>1.509017859033452E-2</v>
      </c>
    </row>
    <row r="19" spans="2:16" ht="15.75">
      <c r="B19" s="703" t="s">
        <v>321</v>
      </c>
      <c r="C19" s="663">
        <f>ABS('Income Statement'!B8/'Income Statement'!B7)</f>
        <v>0.51649211827039043</v>
      </c>
      <c r="D19" s="664">
        <f>ABS('Income Statement'!C8/'Income Statement'!C7)</f>
        <v>0.50008999940865673</v>
      </c>
      <c r="E19" s="663">
        <f>ABS('Income Statement'!D8/'Income Statement'!D7)</f>
        <v>0.50662997957927625</v>
      </c>
      <c r="F19" s="664">
        <f>ABS('Income Statement'!E8/'Income Statement'!E7)</f>
        <v>0.50169341499374032</v>
      </c>
      <c r="G19" s="663">
        <f>ABS('Income Statement'!F8/'Income Statement'!F7)</f>
        <v>0.49124704569240485</v>
      </c>
      <c r="H19" s="666">
        <f>(0.1*D19)+(0.2*E19)+(0.4*F19)+(0.3*G19)-20%</f>
        <v>0.29938647556193848</v>
      </c>
    </row>
    <row r="20" spans="2:16" ht="15.75">
      <c r="B20" s="703" t="s">
        <v>322</v>
      </c>
      <c r="C20" s="663">
        <f>'Cashflow Statement'!B19/'Income Statement'!B7</f>
        <v>0.85953466344153706</v>
      </c>
      <c r="D20" s="664">
        <f>'Cashflow Statement'!C19/'Income Statement'!C7</f>
        <v>0.8787271574324188</v>
      </c>
      <c r="E20" s="663">
        <f>'Cashflow Statement'!D19/'Income Statement'!D7</f>
        <v>0.91829143134064561</v>
      </c>
      <c r="F20" s="664">
        <f>'Cashflow Statement'!E19/'Income Statement'!E7</f>
        <v>0.88046174619963891</v>
      </c>
      <c r="G20" s="663">
        <f>'Cashflow Statement'!F19/'Income Statement'!F7</f>
        <v>0.91951606507737893</v>
      </c>
      <c r="H20" s="666">
        <f>(0.2*D20)+(0.2*E20)+(0.3*F20)+(0.3*G20)-35%</f>
        <v>0.54939706113771825</v>
      </c>
      <c r="P20" s="704"/>
    </row>
    <row r="21" spans="2:16" ht="15.75">
      <c r="B21" s="703" t="s">
        <v>326</v>
      </c>
      <c r="C21" s="663">
        <f>'Income Statement'!B16/'Balance Sheet'!B9</f>
        <v>0.61315814542223568</v>
      </c>
      <c r="D21" s="664">
        <f>'Income Statement'!C16/'Balance Sheet'!C9</f>
        <v>0.56421964297496707</v>
      </c>
      <c r="E21" s="663">
        <f>'Income Statement'!D16/'Balance Sheet'!D9</f>
        <v>0.61154150189201661</v>
      </c>
      <c r="F21" s="664">
        <f>'Income Statement'!E16/'Balance Sheet'!E9</f>
        <v>0.76668534894947393</v>
      </c>
      <c r="G21" s="663">
        <f>'Income Statement'!F16/'Balance Sheet'!F9</f>
        <v>1.1614244018872391</v>
      </c>
      <c r="H21" s="666">
        <f>(0.1*D21)+(0.2*E21)+(0.3*F21)+(0.4*G21)</f>
        <v>0.87330563011563789</v>
      </c>
    </row>
    <row r="22" spans="2:16" ht="15.75">
      <c r="B22" s="703" t="s">
        <v>323</v>
      </c>
      <c r="C22" s="663">
        <f>ABS('Income Statement'!B13/('Balance Sheet'!B39+'Balance Sheet'!B41+'Balance Sheet'!B42))</f>
        <v>2.6524090929553401E-3</v>
      </c>
      <c r="D22" s="664">
        <f>ABS('Income Statement'!C13/('Balance Sheet'!C39+'Balance Sheet'!C41+'Balance Sheet'!C42))</f>
        <v>1.0173859026098911E-4</v>
      </c>
      <c r="E22" s="663">
        <f>ABS('Income Statement'!D13/('Balance Sheet'!D39+'Balance Sheet'!D41+'Balance Sheet'!D42))</f>
        <v>5.5855845064771503E-5</v>
      </c>
      <c r="F22" s="664">
        <f>ABS('Income Statement'!E13/('Balance Sheet'!E39+'Balance Sheet'!E41+'Balance Sheet'!E42))</f>
        <v>4.2232374665955438E-5</v>
      </c>
      <c r="G22" s="663">
        <f>ABS('Income Statement'!F13/('Balance Sheet'!F39+'Balance Sheet'!F41+'Balance Sheet'!F42))</f>
        <v>3.9843553277920276E-5</v>
      </c>
      <c r="H22" s="666">
        <f>(0.4*D22)+(0.2*E22)+(0.2*F22)+(0.2*G22)</f>
        <v>6.8281790706125093E-5</v>
      </c>
    </row>
    <row r="23" spans="2:16" ht="15.75">
      <c r="B23" s="703" t="s">
        <v>324</v>
      </c>
      <c r="C23" s="663">
        <f>ABS('Income Statement'!B18/'Income Statement'!B7)</f>
        <v>1.6483232404528276E-2</v>
      </c>
      <c r="D23" s="664">
        <f>ABS('Income Statement'!C18/'Income Statement'!C7)</f>
        <v>1.7693543825858544E-2</v>
      </c>
      <c r="E23" s="663">
        <f>ABS('Income Statement'!D18/'Income Statement'!D7)</f>
        <v>1.7680456617668761E-2</v>
      </c>
      <c r="F23" s="664">
        <f>ABS('Income Statement'!E18/'Income Statement'!E7)</f>
        <v>1.7984469693375242E-2</v>
      </c>
      <c r="G23" s="663">
        <f>ABS('Income Statement'!F18/'Income Statement'!F7)</f>
        <v>1.8730069996875327E-2</v>
      </c>
      <c r="H23" s="666">
        <f>(0.3*D23)+(0.2*E23)+(0.3*F23)+(0.2*G23)</f>
        <v>1.7985509378678953E-2</v>
      </c>
    </row>
    <row r="24" spans="2:16" ht="15.75">
      <c r="B24" s="703" t="s">
        <v>45</v>
      </c>
      <c r="C24" s="663">
        <f>ABS('Income Statement'!B24/'Income Statement'!B19)</f>
        <v>0.23999322875267121</v>
      </c>
      <c r="D24" s="664">
        <f>ABS('Income Statement'!C24/'Income Statement'!C19)</f>
        <v>0.23729667440346092</v>
      </c>
      <c r="E24" s="663">
        <f>ABS('Income Statement'!D24/'Income Statement'!D19)</f>
        <v>0.24242217821592965</v>
      </c>
      <c r="F24" s="664">
        <f>ABS('Income Statement'!E24/'Income Statement'!E19)</f>
        <v>0.2515944867669952</v>
      </c>
      <c r="G24" s="663">
        <f>ABS('Income Statement'!F24/'Income Statement'!F19)</f>
        <v>0.2488241089006758</v>
      </c>
      <c r="H24" s="666">
        <f>AVERAGE(D24:G24)-10%</f>
        <v>0.14503436207176537</v>
      </c>
      <c r="P24" s="704"/>
    </row>
    <row r="25" spans="2:16" ht="15.75">
      <c r="B25" s="705" t="s">
        <v>46</v>
      </c>
      <c r="C25" s="663">
        <f>ABS('Cashflow Statement'!B37/'Income Statement'!B31)</f>
        <v>0.18075583440077975</v>
      </c>
      <c r="D25" s="664">
        <f>ABS('Cashflow Statement'!C37/'Income Statement'!C31)</f>
        <v>0.22722213507975861</v>
      </c>
      <c r="E25" s="663">
        <f>ABS('Cashflow Statement'!D37/'Income Statement'!D31)</f>
        <v>0.21432148359480255</v>
      </c>
      <c r="F25" s="664">
        <f>ABS('Cashflow Statement'!E37/'Income Statement'!E31)</f>
        <v>0.21060335491428164</v>
      </c>
      <c r="G25" s="663">
        <f>ABS('Cashflow Statement'!F37/'Income Statement'!F31)</f>
        <v>0.26013182758203446</v>
      </c>
      <c r="H25" s="667">
        <f>(0.1*D25)+(0.2*E25)+(0.4*F25)+(0.3*G25)+10%</f>
        <v>0.32786740046725937</v>
      </c>
    </row>
    <row r="26" spans="2:16" ht="16.5" thickBot="1">
      <c r="B26" s="706" t="s">
        <v>47</v>
      </c>
      <c r="C26" s="668"/>
      <c r="D26" s="669">
        <f>(ABS('Cashflow Statement'!C37/'Cashflow Statement'!B37))-1</f>
        <v>0.5</v>
      </c>
      <c r="E26" s="668">
        <f>(ABS('Cashflow Statement'!D37/'Cashflow Statement'!C37))-1</f>
        <v>-3.7500000841903969E-2</v>
      </c>
      <c r="F26" s="669">
        <f>(ABS('Cashflow Statement'!E37/'Cashflow Statement'!D37))-1</f>
        <v>0.10571428571428565</v>
      </c>
      <c r="G26" s="668">
        <f>(ABS('Cashflow Statement'!F37/'Cashflow Statement'!E37))-1</f>
        <v>0.24833333278334635</v>
      </c>
      <c r="H26" s="670">
        <f>(0.1*D26)+(0.2*E26)+(0.3*F26)+(0.4*G26)</f>
        <v>0.17354761865924345</v>
      </c>
    </row>
    <row r="27" spans="2:16" ht="14.25">
      <c r="I27" s="707"/>
    </row>
    <row r="28" spans="2:16" thickBot="1"/>
    <row r="29" spans="2:16">
      <c r="B29" s="671"/>
      <c r="C29" s="672">
        <v>2016</v>
      </c>
      <c r="D29" s="672">
        <v>2017</v>
      </c>
      <c r="E29" s="672">
        <v>2018</v>
      </c>
      <c r="F29" s="672">
        <v>2019</v>
      </c>
      <c r="G29" s="673">
        <v>2020</v>
      </c>
    </row>
    <row r="30" spans="2:16" ht="15.75" thickBot="1">
      <c r="B30" s="708" t="s">
        <v>50</v>
      </c>
      <c r="C30" s="709">
        <v>2010881334</v>
      </c>
      <c r="D30" s="710">
        <v>1969393467</v>
      </c>
      <c r="E30" s="709">
        <v>1997935652</v>
      </c>
      <c r="F30" s="710">
        <v>2027716414</v>
      </c>
      <c r="G30" s="711">
        <v>1970126072</v>
      </c>
    </row>
    <row r="31" spans="2:16" ht="14.25">
      <c r="B31" s="712"/>
      <c r="C31" s="712"/>
      <c r="D31" s="712"/>
      <c r="E31" s="712"/>
      <c r="F31" s="712"/>
      <c r="G31" s="712"/>
    </row>
    <row r="32" spans="2:16" thickBot="1">
      <c r="B32" s="712"/>
      <c r="C32" s="712"/>
      <c r="D32" s="712"/>
      <c r="E32" s="712"/>
      <c r="F32" s="712"/>
      <c r="G32" s="712"/>
    </row>
    <row r="33" spans="2:7" ht="23.25">
      <c r="B33" s="674" t="s">
        <v>250</v>
      </c>
      <c r="C33" s="675"/>
      <c r="D33" s="675"/>
      <c r="E33" s="675"/>
      <c r="F33" s="675"/>
      <c r="G33" s="676"/>
    </row>
    <row r="34" spans="2:7" ht="20.25">
      <c r="B34" s="571" t="s">
        <v>33</v>
      </c>
      <c r="C34" s="572"/>
      <c r="D34" s="572"/>
      <c r="E34" s="572"/>
      <c r="F34" s="572"/>
      <c r="G34" s="573"/>
    </row>
    <row r="35" spans="2:7">
      <c r="B35" s="713"/>
      <c r="C35" s="56">
        <v>2020</v>
      </c>
      <c r="D35" s="83">
        <v>2021</v>
      </c>
      <c r="E35" s="56">
        <v>2022</v>
      </c>
      <c r="F35" s="83">
        <v>2023</v>
      </c>
      <c r="G35" s="58">
        <v>2024</v>
      </c>
    </row>
    <row r="36" spans="2:7">
      <c r="B36" s="714"/>
      <c r="C36" s="715"/>
      <c r="D36" s="715"/>
      <c r="E36" s="715"/>
      <c r="F36" s="715"/>
      <c r="G36" s="716"/>
    </row>
    <row r="37" spans="2:7">
      <c r="B37" s="717" t="str">
        <f>'Income Statement'!A7</f>
        <v>Net revenue</v>
      </c>
      <c r="C37" s="677">
        <f>'Income Statement'!B7</f>
        <v>33073760572</v>
      </c>
      <c r="D37" s="678">
        <f>C37*(1+$H$5)</f>
        <v>36319155794.782326</v>
      </c>
      <c r="E37" s="677">
        <f t="shared" ref="E37:G37" si="0">D37*(1+$H$5)</f>
        <v>39883008609.622536</v>
      </c>
      <c r="F37" s="678">
        <f t="shared" si="0"/>
        <v>43796567980.353264</v>
      </c>
      <c r="G37" s="677">
        <f t="shared" si="0"/>
        <v>48094149206.058571</v>
      </c>
    </row>
    <row r="38" spans="2:7">
      <c r="B38" s="717" t="s">
        <v>34</v>
      </c>
      <c r="C38" s="677">
        <f>'Income Statement'!B8</f>
        <v>-17082336657</v>
      </c>
      <c r="D38" s="678">
        <f>-D37*$H$19</f>
        <v>-10873464048.784836</v>
      </c>
      <c r="E38" s="677">
        <f t="shared" ref="E38:G38" si="1">-E37*$H$19</f>
        <v>-11940433382.441339</v>
      </c>
      <c r="F38" s="678">
        <f t="shared" si="1"/>
        <v>-13112100129.346809</v>
      </c>
      <c r="G38" s="677">
        <f t="shared" si="1"/>
        <v>-14398737825.951878</v>
      </c>
    </row>
    <row r="39" spans="2:7" ht="15.75">
      <c r="B39" s="720" t="s">
        <v>35</v>
      </c>
      <c r="C39" s="679">
        <f>SUM(C37:C38)</f>
        <v>15991423915</v>
      </c>
      <c r="D39" s="679">
        <f t="shared" ref="D39:G39" si="2">SUM(D37:D38)</f>
        <v>25445691745.99749</v>
      </c>
      <c r="E39" s="679">
        <f t="shared" si="2"/>
        <v>27942575227.181198</v>
      </c>
      <c r="F39" s="679">
        <f t="shared" si="2"/>
        <v>30684467851.006454</v>
      </c>
      <c r="G39" s="679">
        <f t="shared" si="2"/>
        <v>33695411380.106693</v>
      </c>
    </row>
    <row r="40" spans="2:7">
      <c r="B40" s="714"/>
      <c r="C40" s="680"/>
      <c r="D40" s="680"/>
      <c r="E40" s="680"/>
      <c r="F40" s="680"/>
      <c r="G40" s="681"/>
    </row>
    <row r="41" spans="2:7">
      <c r="B41" s="717" t="s">
        <v>36</v>
      </c>
      <c r="C41" s="677">
        <f>'Cashflow Statement'!B19</f>
        <v>28428043662</v>
      </c>
      <c r="D41" s="678">
        <f>D37*$H$20</f>
        <v>19953637456.656338</v>
      </c>
      <c r="E41" s="677">
        <f t="shared" ref="E41:G41" si="3">E37*$H$20</f>
        <v>21911607719.456936</v>
      </c>
      <c r="F41" s="678">
        <f t="shared" si="3"/>
        <v>24061705736.324375</v>
      </c>
      <c r="G41" s="677">
        <f t="shared" si="3"/>
        <v>26422784231.727505</v>
      </c>
    </row>
    <row r="42" spans="2:7" ht="15.75">
      <c r="B42" s="720" t="s">
        <v>37</v>
      </c>
      <c r="C42" s="679">
        <f>C39-C41</f>
        <v>-12436619747</v>
      </c>
      <c r="D42" s="679">
        <f t="shared" ref="D42:G42" si="4">D39-D41</f>
        <v>5492054289.3411522</v>
      </c>
      <c r="E42" s="679">
        <f t="shared" si="4"/>
        <v>6030967507.7242622</v>
      </c>
      <c r="F42" s="679">
        <f t="shared" si="4"/>
        <v>6622762114.6820793</v>
      </c>
      <c r="G42" s="679">
        <f t="shared" si="4"/>
        <v>7272627148.3791885</v>
      </c>
    </row>
    <row r="43" spans="2:7">
      <c r="B43" s="714"/>
      <c r="C43" s="680"/>
      <c r="D43" s="680"/>
      <c r="E43" s="680"/>
      <c r="F43" s="680"/>
      <c r="G43" s="681"/>
    </row>
    <row r="44" spans="2:7">
      <c r="B44" s="717" t="s">
        <v>38</v>
      </c>
      <c r="C44" s="677">
        <f>'Income Statement'!B16</f>
        <v>657143316</v>
      </c>
      <c r="D44" s="678">
        <f ca="1">D63*$H$21</f>
        <v>19283742963.439056</v>
      </c>
      <c r="E44" s="682">
        <f t="shared" ref="E44:F44" ca="1" si="5">E63*$H$21</f>
        <v>19625683383.458847</v>
      </c>
      <c r="F44" s="678">
        <f t="shared" ca="1" si="5"/>
        <v>20181880451.830238</v>
      </c>
      <c r="G44" s="683">
        <f ca="1">G63*$H$21</f>
        <v>20761000036.670803</v>
      </c>
    </row>
    <row r="45" spans="2:7">
      <c r="B45" s="717" t="s">
        <v>39</v>
      </c>
      <c r="C45" s="677">
        <f>'Income Statement'!B13</f>
        <v>-5299871</v>
      </c>
      <c r="D45" s="678">
        <f>-(D81*$H$22)</f>
        <v>-161836.5077982895</v>
      </c>
      <c r="E45" s="682">
        <f t="shared" ref="E45:G45" si="6">-(E81*$H$22)</f>
        <v>-191965.5528301145</v>
      </c>
      <c r="F45" s="678">
        <f t="shared" si="6"/>
        <v>-227703.71144749192</v>
      </c>
      <c r="G45" s="683">
        <f t="shared" si="6"/>
        <v>-270095.23032941192</v>
      </c>
    </row>
    <row r="46" spans="2:7" ht="15.75">
      <c r="B46" s="720" t="s">
        <v>40</v>
      </c>
      <c r="C46" s="679">
        <f>C44+C42+C45</f>
        <v>-11784776302</v>
      </c>
      <c r="D46" s="679">
        <f t="shared" ref="D46:G46" ca="1" si="7">D44+D42+D45</f>
        <v>24775635416.272411</v>
      </c>
      <c r="E46" s="679">
        <f t="shared" ca="1" si="7"/>
        <v>25656458925.63028</v>
      </c>
      <c r="F46" s="679">
        <f t="shared" ca="1" si="7"/>
        <v>26804414862.800869</v>
      </c>
      <c r="G46" s="679">
        <f t="shared" ca="1" si="7"/>
        <v>28033357089.819664</v>
      </c>
    </row>
    <row r="47" spans="2:7">
      <c r="B47" s="714"/>
      <c r="C47" s="680"/>
      <c r="D47" s="680"/>
      <c r="E47" s="680"/>
      <c r="F47" s="680"/>
      <c r="G47" s="681"/>
    </row>
    <row r="48" spans="2:7">
      <c r="B48" s="717" t="s">
        <v>41</v>
      </c>
      <c r="C48" s="677">
        <f>'Income Statement'!B18</f>
        <v>-545162482</v>
      </c>
      <c r="D48" s="678">
        <f>-(D37*$H$23)</f>
        <v>-653218517.17275953</v>
      </c>
      <c r="E48" s="682">
        <f t="shared" ref="E48:G48" si="8">-(E37*$H$23)</f>
        <v>-717316225.39829957</v>
      </c>
      <c r="F48" s="678">
        <f t="shared" si="8"/>
        <v>-787703584.16459394</v>
      </c>
      <c r="G48" s="683">
        <f t="shared" si="8"/>
        <v>-864997771.6051513</v>
      </c>
    </row>
    <row r="49" spans="2:7" ht="15.75">
      <c r="B49" s="720" t="s">
        <v>42</v>
      </c>
      <c r="C49" s="679">
        <f>SUM(C46,C48)</f>
        <v>-12329938784</v>
      </c>
      <c r="D49" s="679">
        <f t="shared" ref="D49:G49" ca="1" si="9">SUM(D46,D48)</f>
        <v>24122416899.099651</v>
      </c>
      <c r="E49" s="679">
        <f t="shared" ca="1" si="9"/>
        <v>24939142700.231979</v>
      </c>
      <c r="F49" s="679">
        <f t="shared" ca="1" si="9"/>
        <v>26016711278.636276</v>
      </c>
      <c r="G49" s="679">
        <f t="shared" ca="1" si="9"/>
        <v>27168359318.214512</v>
      </c>
    </row>
    <row r="50" spans="2:7">
      <c r="B50" s="714"/>
      <c r="C50" s="680"/>
      <c r="D50" s="680"/>
      <c r="E50" s="680"/>
      <c r="F50" s="680"/>
      <c r="G50" s="681"/>
    </row>
    <row r="51" spans="2:7">
      <c r="B51" s="717" t="s">
        <v>43</v>
      </c>
      <c r="C51" s="677">
        <f>'Income Statement'!B24</f>
        <v>-2616706085</v>
      </c>
      <c r="D51" s="678">
        <f ca="1">-(D49*$H$24)</f>
        <v>-3498579346.5900908</v>
      </c>
      <c r="E51" s="682">
        <f t="shared" ref="E51:G51" ca="1" si="10">-(E49*$H$24)</f>
        <v>-3617032652.1448693</v>
      </c>
      <c r="F51" s="678">
        <f t="shared" ca="1" si="10"/>
        <v>-3773317123.5023155</v>
      </c>
      <c r="G51" s="683">
        <f t="shared" ca="1" si="10"/>
        <v>-3940345662.2537441</v>
      </c>
    </row>
    <row r="52" spans="2:7" ht="15.75">
      <c r="B52" s="720" t="s">
        <v>44</v>
      </c>
      <c r="C52" s="679">
        <f>SUM(C49,C51)</f>
        <v>-14946644869</v>
      </c>
      <c r="D52" s="679">
        <f t="shared" ref="D52:G52" ca="1" si="11">SUM(D49,D51)</f>
        <v>20623837552.50956</v>
      </c>
      <c r="E52" s="679">
        <f t="shared" ca="1" si="11"/>
        <v>21322110048.087109</v>
      </c>
      <c r="F52" s="679">
        <f t="shared" ca="1" si="11"/>
        <v>22243394155.133961</v>
      </c>
      <c r="G52" s="679">
        <f t="shared" ca="1" si="11"/>
        <v>23228013655.96077</v>
      </c>
    </row>
    <row r="53" spans="2:7" ht="14.25">
      <c r="B53" s="712"/>
      <c r="C53" s="712"/>
      <c r="D53" s="712"/>
      <c r="E53" s="712"/>
      <c r="F53" s="712"/>
      <c r="G53" s="712"/>
    </row>
    <row r="54" spans="2:7" thickBot="1">
      <c r="B54" s="712"/>
      <c r="C54" s="712"/>
      <c r="D54" s="712"/>
      <c r="E54" s="712"/>
      <c r="F54" s="712"/>
      <c r="G54" s="712"/>
    </row>
    <row r="55" spans="2:7" ht="23.25">
      <c r="B55" s="674" t="s">
        <v>250</v>
      </c>
      <c r="C55" s="675"/>
      <c r="D55" s="675"/>
      <c r="E55" s="675"/>
      <c r="F55" s="675"/>
      <c r="G55" s="676"/>
    </row>
    <row r="56" spans="2:7" ht="20.25">
      <c r="B56" s="571" t="s">
        <v>48</v>
      </c>
      <c r="C56" s="572"/>
      <c r="D56" s="572"/>
      <c r="E56" s="572"/>
      <c r="F56" s="572"/>
      <c r="G56" s="573"/>
    </row>
    <row r="57" spans="2:7">
      <c r="B57" s="713"/>
      <c r="C57" s="56">
        <v>2020</v>
      </c>
      <c r="D57" s="83">
        <v>2021</v>
      </c>
      <c r="E57" s="56">
        <v>2022</v>
      </c>
      <c r="F57" s="83">
        <v>2023</v>
      </c>
      <c r="G57" s="58">
        <v>2024</v>
      </c>
    </row>
    <row r="58" spans="2:7">
      <c r="B58" s="717" t="s">
        <v>6</v>
      </c>
      <c r="C58" s="724"/>
      <c r="D58" s="725"/>
      <c r="E58" s="724"/>
      <c r="F58" s="725"/>
      <c r="G58" s="726"/>
    </row>
    <row r="59" spans="2:7">
      <c r="B59" s="717" t="s">
        <v>49</v>
      </c>
      <c r="C59" s="724"/>
      <c r="D59" s="725"/>
      <c r="E59" s="724"/>
      <c r="F59" s="725"/>
      <c r="G59" s="726"/>
    </row>
    <row r="60" spans="2:7">
      <c r="B60" s="717" t="str">
        <f>'Balance Sheet'!A6</f>
        <v>Property, plant and equipment - Carrying Value</v>
      </c>
      <c r="C60" s="677">
        <f>'Balance Sheet'!B6</f>
        <v>18848282139</v>
      </c>
      <c r="D60" s="678">
        <f>C60*(1+$H$9)</f>
        <v>19389362885.015053</v>
      </c>
      <c r="E60" s="682">
        <f t="shared" ref="E60:G60" si="12">D60*(1+$H$9)</f>
        <v>19945976525.303925</v>
      </c>
      <c r="F60" s="678">
        <f t="shared" si="12"/>
        <v>20518568965.226025</v>
      </c>
      <c r="G60" s="682">
        <f t="shared" si="12"/>
        <v>21107598910.819508</v>
      </c>
    </row>
    <row r="61" spans="2:7">
      <c r="B61" s="717" t="str">
        <f>'Balance Sheet'!A9</f>
        <v>Investment in marketable securities (Fair Value)</v>
      </c>
      <c r="C61" s="677">
        <f>'Balance Sheet'!B9</f>
        <v>1071735442</v>
      </c>
      <c r="D61" s="678">
        <f ca="1">D63*$H$13</f>
        <v>1727233719.8067262</v>
      </c>
      <c r="E61" s="682">
        <f t="shared" ref="E61:G61" ca="1" si="13">E63*$H$13</f>
        <v>1757861125.7383873</v>
      </c>
      <c r="F61" s="678">
        <f t="shared" ca="1" si="13"/>
        <v>1807679375.9178317</v>
      </c>
      <c r="G61" s="682">
        <f t="shared" ca="1" si="13"/>
        <v>1859550782.6583989</v>
      </c>
    </row>
    <row r="62" spans="2:7">
      <c r="B62" s="717" t="s">
        <v>9</v>
      </c>
      <c r="C62" s="677">
        <f>'Balance Sheet'!B7+'Balance Sheet'!B8</f>
        <v>7320385218</v>
      </c>
      <c r="D62" s="678">
        <f ca="1">(D60+D61+C62)*$H$12</f>
        <v>964725555.99564469</v>
      </c>
      <c r="E62" s="682">
        <f t="shared" ref="E62:G62" ca="1" si="14">(E60+E61+D62)*$H$12</f>
        <v>769031762.22384596</v>
      </c>
      <c r="F62" s="678">
        <f t="shared" ca="1" si="14"/>
        <v>783508147.15208316</v>
      </c>
      <c r="G62" s="682">
        <f t="shared" ca="1" si="14"/>
        <v>805741858.72903097</v>
      </c>
    </row>
    <row r="63" spans="2:7" ht="15.75">
      <c r="B63" s="720" t="s">
        <v>10</v>
      </c>
      <c r="C63" s="679">
        <f>SUM(C60:C62)</f>
        <v>27240402799</v>
      </c>
      <c r="D63" s="679">
        <f ca="1">SUM(D60:D62)</f>
        <v>22081322160.817421</v>
      </c>
      <c r="E63" s="679">
        <f ca="1">SUM(E60:E62)</f>
        <v>22472869413.266159</v>
      </c>
      <c r="F63" s="679">
        <f ca="1">SUM(F60:F62)</f>
        <v>23109756488.29594</v>
      </c>
      <c r="G63" s="679">
        <f ca="1">SUM(G60:G62)</f>
        <v>23772891552.206936</v>
      </c>
    </row>
    <row r="64" spans="2:7">
      <c r="B64" s="714"/>
      <c r="C64" s="680"/>
      <c r="D64" s="680"/>
      <c r="E64" s="680"/>
      <c r="F64" s="680"/>
      <c r="G64" s="681"/>
    </row>
    <row r="65" spans="2:11">
      <c r="B65" s="717" t="s">
        <v>11</v>
      </c>
      <c r="C65" s="677"/>
      <c r="D65" s="678"/>
      <c r="E65" s="677"/>
      <c r="F65" s="678"/>
      <c r="G65" s="685"/>
    </row>
    <row r="66" spans="2:11">
      <c r="B66" s="717" t="s">
        <v>12</v>
      </c>
      <c r="C66" s="677">
        <f>'Balance Sheet'!B14</f>
        <v>3694711088</v>
      </c>
      <c r="D66" s="678">
        <f>C66*(1+$H$10)</f>
        <v>4126805270.4144449</v>
      </c>
      <c r="E66" s="682">
        <f t="shared" ref="E66:G66" si="15">D66*(1+$H$10)</f>
        <v>4609432600.8963547</v>
      </c>
      <c r="F66" s="678">
        <f t="shared" si="15"/>
        <v>5148502899.937501</v>
      </c>
      <c r="G66" s="682">
        <f t="shared" si="15"/>
        <v>5750617137.8903046</v>
      </c>
    </row>
    <row r="67" spans="2:11">
      <c r="B67" s="717" t="s">
        <v>13</v>
      </c>
      <c r="C67" s="677">
        <f>'Balance Sheet'!B15</f>
        <v>1335829914</v>
      </c>
      <c r="D67" s="678">
        <f>C67*(1+$H$11)</f>
        <v>1427528307.9808753</v>
      </c>
      <c r="E67" s="682">
        <f t="shared" ref="E67:G67" si="16">D67*(1+$H$11)</f>
        <v>1525521362.2104442</v>
      </c>
      <c r="F67" s="678">
        <f t="shared" si="16"/>
        <v>1630241175.2885447</v>
      </c>
      <c r="G67" s="682">
        <f t="shared" si="16"/>
        <v>1742149507.336463</v>
      </c>
    </row>
    <row r="68" spans="2:11">
      <c r="B68" s="717" t="s">
        <v>14</v>
      </c>
      <c r="C68" s="677">
        <f>'Balance Sheet'!B16</f>
        <v>1131340560</v>
      </c>
      <c r="D68" s="678">
        <f>C68*(1+$H$14)</f>
        <v>1396357135.1982632</v>
      </c>
      <c r="E68" s="682">
        <f t="shared" ref="E68:G68" si="17">D68*(1+$H$14)</f>
        <v>1723453854.6192498</v>
      </c>
      <c r="F68" s="678">
        <f t="shared" si="17"/>
        <v>2127172994.7369161</v>
      </c>
      <c r="G68" s="682">
        <f t="shared" si="17"/>
        <v>2625463360.9193244</v>
      </c>
      <c r="I68" s="727"/>
      <c r="J68" s="727"/>
      <c r="K68" s="727"/>
    </row>
    <row r="69" spans="2:11">
      <c r="B69" s="717" t="s">
        <v>15</v>
      </c>
      <c r="C69" s="677">
        <f>'Balance Sheet'!B18</f>
        <v>8522555131</v>
      </c>
      <c r="D69" s="678">
        <v>21026700500</v>
      </c>
      <c r="E69" s="677">
        <v>28200374312</v>
      </c>
      <c r="F69" s="678">
        <v>35080000841</v>
      </c>
      <c r="G69" s="686">
        <v>41958200184</v>
      </c>
    </row>
    <row r="70" spans="2:11" ht="15.75">
      <c r="B70" s="720" t="s">
        <v>51</v>
      </c>
      <c r="C70" s="679">
        <f>SUM(C66:C69)</f>
        <v>14684436693</v>
      </c>
      <c r="D70" s="679">
        <f>SUM(D66:D69)</f>
        <v>27977391213.593582</v>
      </c>
      <c r="E70" s="679">
        <f>SUM(E66:E69)</f>
        <v>36058782129.726051</v>
      </c>
      <c r="F70" s="679">
        <f>SUM(F66:F69)</f>
        <v>43985917910.962959</v>
      </c>
      <c r="G70" s="679">
        <f>SUM(G66:G69)</f>
        <v>52076430190.146088</v>
      </c>
    </row>
    <row r="71" spans="2:11">
      <c r="B71" s="714"/>
      <c r="C71" s="680"/>
      <c r="D71" s="680"/>
      <c r="E71" s="680"/>
      <c r="F71" s="680"/>
      <c r="G71" s="681"/>
    </row>
    <row r="72" spans="2:11" ht="15.75">
      <c r="B72" s="720" t="s">
        <v>17</v>
      </c>
      <c r="C72" s="679">
        <f>SUM(C63,C70)</f>
        <v>41924839492</v>
      </c>
      <c r="D72" s="679">
        <f ca="1">SUM(D63,D70)</f>
        <v>50058713374.411003</v>
      </c>
      <c r="E72" s="679">
        <f ca="1">SUM(E63,E70)</f>
        <v>58531651542.99221</v>
      </c>
      <c r="F72" s="679">
        <f ca="1">SUM(F63,F70)</f>
        <v>67095674399.258896</v>
      </c>
      <c r="G72" s="679">
        <f ca="1">SUM(G63,G70)</f>
        <v>75849321742.353027</v>
      </c>
    </row>
    <row r="73" spans="2:11">
      <c r="B73" s="714"/>
      <c r="C73" s="680"/>
      <c r="D73" s="680"/>
      <c r="E73" s="680"/>
      <c r="F73" s="680"/>
      <c r="G73" s="681"/>
    </row>
    <row r="74" spans="2:11">
      <c r="B74" s="717" t="s">
        <v>52</v>
      </c>
      <c r="C74" s="677"/>
      <c r="D74" s="678"/>
      <c r="E74" s="682"/>
      <c r="F74" s="678"/>
      <c r="G74" s="687"/>
      <c r="I74" s="727"/>
    </row>
    <row r="75" spans="2:11">
      <c r="B75" s="717" t="s">
        <v>53</v>
      </c>
      <c r="C75" s="677">
        <f>'Balance Sheet'!B24</f>
        <v>6235865460</v>
      </c>
      <c r="D75" s="678">
        <f t="shared" ref="D75:G75" si="18">C75</f>
        <v>6235865460</v>
      </c>
      <c r="E75" s="682">
        <f t="shared" si="18"/>
        <v>6235865460</v>
      </c>
      <c r="F75" s="678">
        <f t="shared" si="18"/>
        <v>6235865460</v>
      </c>
      <c r="G75" s="687">
        <f t="shared" si="18"/>
        <v>6235865460</v>
      </c>
    </row>
    <row r="76" spans="2:11">
      <c r="B76" s="717" t="s">
        <v>54</v>
      </c>
      <c r="C76" s="677">
        <f>'Balance Sheet'!B30</f>
        <v>31587049056</v>
      </c>
      <c r="D76" s="678">
        <f ca="1">C76+(D52*(1-$C$25))</f>
        <v>48483007643.159561</v>
      </c>
      <c r="E76" s="682">
        <f ca="1">D76+(E52*(1-$C$25))</f>
        <v>65951021898.319435</v>
      </c>
      <c r="F76" s="678">
        <f ca="1">E76+(F52*(1-$C$25))</f>
        <v>84173792783.036728</v>
      </c>
      <c r="G76" s="682">
        <f ca="1">F76+(G52*(1-$C$25))</f>
        <v>103203207449.1416</v>
      </c>
    </row>
    <row r="77" spans="2:11" ht="15.75">
      <c r="B77" s="720" t="s">
        <v>55</v>
      </c>
      <c r="C77" s="679">
        <f>SUM(C75:C76)</f>
        <v>37822914516</v>
      </c>
      <c r="D77" s="679">
        <f t="shared" ref="D77:G77" ca="1" si="19">SUM(D75:D76)</f>
        <v>54718873103.159561</v>
      </c>
      <c r="E77" s="679">
        <f t="shared" ca="1" si="19"/>
        <v>72186887358.319427</v>
      </c>
      <c r="F77" s="679">
        <f t="shared" ca="1" si="19"/>
        <v>90409658243.036728</v>
      </c>
      <c r="G77" s="679">
        <f t="shared" ca="1" si="19"/>
        <v>109439072909.1416</v>
      </c>
    </row>
    <row r="78" spans="2:11">
      <c r="B78" s="714"/>
      <c r="C78" s="721"/>
      <c r="D78" s="721"/>
      <c r="E78" s="721"/>
      <c r="F78" s="721"/>
      <c r="G78" s="722"/>
    </row>
    <row r="79" spans="2:11">
      <c r="B79" s="717" t="s">
        <v>56</v>
      </c>
      <c r="C79" s="718"/>
      <c r="D79" s="719"/>
      <c r="E79" s="723"/>
      <c r="F79" s="719"/>
      <c r="G79" s="728"/>
    </row>
    <row r="80" spans="2:11">
      <c r="B80" s="729" t="s">
        <v>57</v>
      </c>
      <c r="C80" s="677">
        <f>'Balance Sheet'!B35</f>
        <v>1054498262</v>
      </c>
      <c r="D80" s="678">
        <f ca="1">ABS(D51/$H$15)</f>
        <v>1227288444.8958941</v>
      </c>
      <c r="E80" s="682">
        <f t="shared" ref="E80:G80" ca="1" si="20">ABS(E51/$H$15)</f>
        <v>1268841417.907295</v>
      </c>
      <c r="F80" s="678">
        <f t="shared" ca="1" si="20"/>
        <v>1323665421.2561405</v>
      </c>
      <c r="G80" s="682">
        <f t="shared" ca="1" si="20"/>
        <v>1382258402.9409125</v>
      </c>
    </row>
    <row r="81" spans="2:7">
      <c r="B81" s="717" t="s">
        <v>327</v>
      </c>
      <c r="C81" s="677">
        <f>'Balance Sheet'!B39+'Balance Sheet'!B41+'Balance Sheet'!B42</f>
        <v>1998134833</v>
      </c>
      <c r="D81" s="678">
        <f>C81*(1+$H$17)</f>
        <v>2370126883.3855033</v>
      </c>
      <c r="E81" s="682">
        <f t="shared" ref="E81:G81" si="21">D81*(1+$H$17)</f>
        <v>2811372561.3363943</v>
      </c>
      <c r="F81" s="678">
        <f t="shared" si="21"/>
        <v>3334764790.0374436</v>
      </c>
      <c r="G81" s="682">
        <f t="shared" si="21"/>
        <v>3955596763.5919585</v>
      </c>
    </row>
    <row r="82" spans="2:7">
      <c r="B82" s="717" t="s">
        <v>58</v>
      </c>
      <c r="C82" s="677">
        <f>'Balance Sheet'!B40</f>
        <v>693982698</v>
      </c>
      <c r="D82" s="678">
        <f>D37*$H$18</f>
        <v>548062547.19344819</v>
      </c>
      <c r="E82" s="682">
        <f t="shared" ref="E82:G82" si="22">E37*$H$18</f>
        <v>601841722.63905334</v>
      </c>
      <c r="F82" s="678">
        <f t="shared" si="22"/>
        <v>660898032.46725714</v>
      </c>
      <c r="G82" s="682">
        <f t="shared" si="22"/>
        <v>725749300.66961896</v>
      </c>
    </row>
    <row r="83" spans="2:7" ht="15.75">
      <c r="B83" s="720" t="s">
        <v>59</v>
      </c>
      <c r="C83" s="679">
        <f>SUM(C80:C82)</f>
        <v>3746615793</v>
      </c>
      <c r="D83" s="679">
        <f t="shared" ref="D83:G83" ca="1" si="23">SUM(D80:D82)</f>
        <v>4145477875.4748454</v>
      </c>
      <c r="E83" s="679">
        <f t="shared" ca="1" si="23"/>
        <v>4682055701.8827429</v>
      </c>
      <c r="F83" s="679">
        <f t="shared" ca="1" si="23"/>
        <v>5319328243.7608414</v>
      </c>
      <c r="G83" s="679">
        <f t="shared" ca="1" si="23"/>
        <v>6063604467.2024899</v>
      </c>
    </row>
    <row r="84" spans="2:7">
      <c r="B84" s="714"/>
      <c r="C84" s="680"/>
      <c r="D84" s="680"/>
      <c r="E84" s="680"/>
      <c r="F84" s="680"/>
      <c r="G84" s="681"/>
    </row>
    <row r="85" spans="2:7" ht="16.5" thickBot="1">
      <c r="B85" s="730" t="s">
        <v>60</v>
      </c>
      <c r="C85" s="688">
        <f>C77+C83</f>
        <v>41569530309</v>
      </c>
      <c r="D85" s="688">
        <f t="shared" ref="D85:G85" ca="1" si="24">D77+D83</f>
        <v>58864350978.634407</v>
      </c>
      <c r="E85" s="688">
        <f t="shared" ca="1" si="24"/>
        <v>76868943060.202164</v>
      </c>
      <c r="F85" s="688">
        <f t="shared" ca="1" si="24"/>
        <v>95728986486.797577</v>
      </c>
      <c r="G85" s="688">
        <f t="shared" ca="1" si="24"/>
        <v>115502677376.34409</v>
      </c>
    </row>
    <row r="86" spans="2:7" ht="14.25">
      <c r="B86" s="712"/>
      <c r="C86" s="712"/>
      <c r="D86" s="712"/>
      <c r="E86" s="712"/>
      <c r="F86" s="712"/>
      <c r="G86" s="712"/>
    </row>
    <row r="87" spans="2:7" ht="14.25">
      <c r="B87" s="712"/>
      <c r="C87" s="712"/>
      <c r="D87" s="712"/>
      <c r="E87" s="712"/>
      <c r="F87" s="712"/>
      <c r="G87" s="712"/>
    </row>
    <row r="88" spans="2:7" thickBot="1">
      <c r="B88" s="712"/>
      <c r="C88" s="712"/>
      <c r="D88" s="712"/>
      <c r="E88" s="712"/>
      <c r="F88" s="712"/>
      <c r="G88" s="712"/>
    </row>
    <row r="89" spans="2:7" ht="23.25">
      <c r="B89" s="674" t="s">
        <v>250</v>
      </c>
      <c r="C89" s="675"/>
      <c r="D89" s="675"/>
      <c r="E89" s="675"/>
      <c r="F89" s="676"/>
      <c r="G89" s="712"/>
    </row>
    <row r="90" spans="2:7" ht="20.25">
      <c r="B90" s="571" t="s">
        <v>61</v>
      </c>
      <c r="C90" s="572"/>
      <c r="D90" s="572"/>
      <c r="E90" s="572"/>
      <c r="F90" s="573"/>
      <c r="G90" s="712"/>
    </row>
    <row r="91" spans="2:7">
      <c r="B91" s="713"/>
      <c r="C91" s="56">
        <v>2021</v>
      </c>
      <c r="D91" s="83">
        <v>2022</v>
      </c>
      <c r="E91" s="56">
        <v>2023</v>
      </c>
      <c r="F91" s="84">
        <v>2024</v>
      </c>
      <c r="G91" s="712"/>
    </row>
    <row r="92" spans="2:7">
      <c r="B92" s="717" t="s">
        <v>62</v>
      </c>
      <c r="C92" s="677">
        <f ca="1">D52</f>
        <v>20623837552.50956</v>
      </c>
      <c r="D92" s="678">
        <f t="shared" ref="D92:F92" ca="1" si="25">E52</f>
        <v>21322110048.087109</v>
      </c>
      <c r="E92" s="677">
        <f t="shared" ca="1" si="25"/>
        <v>22243394155.133961</v>
      </c>
      <c r="F92" s="678">
        <f t="shared" ca="1" si="25"/>
        <v>23228013655.96077</v>
      </c>
      <c r="G92" s="712"/>
    </row>
    <row r="93" spans="2:7">
      <c r="B93" s="717" t="s">
        <v>63</v>
      </c>
      <c r="C93" s="677">
        <f>D60*$H$8</f>
        <v>1877844706.6137376</v>
      </c>
      <c r="D93" s="678">
        <f>E60*$H$8</f>
        <v>1931752304.5190439</v>
      </c>
      <c r="E93" s="677">
        <f>F60*$H$8</f>
        <v>1987207436.7341282</v>
      </c>
      <c r="F93" s="689">
        <f>G60*$H$8</f>
        <v>2044254528.5818212</v>
      </c>
      <c r="G93" s="712"/>
    </row>
    <row r="94" spans="2:7">
      <c r="B94" s="717" t="s">
        <v>64</v>
      </c>
      <c r="C94" s="677">
        <f>-(SUM(D66:D68)-SUM(C66:C68))</f>
        <v>-788809151.59358311</v>
      </c>
      <c r="D94" s="678">
        <f>-(SUM(E66:E68)-SUM(D66:D68))</f>
        <v>-907717104.13246632</v>
      </c>
      <c r="E94" s="677">
        <f>-(SUM(F66:F68)-SUM(E66:E68))</f>
        <v>-1047509252.2369118</v>
      </c>
      <c r="F94" s="689">
        <f>-(SUM(G66:G68)-SUM(F66:F68))</f>
        <v>-1212312936.1831303</v>
      </c>
      <c r="G94" s="712"/>
    </row>
    <row r="95" spans="2:7">
      <c r="B95" s="717" t="s">
        <v>65</v>
      </c>
      <c r="C95" s="677">
        <f ca="1">SUM(D80:D82)-SUM(C82:C82)</f>
        <v>3451495177.4748454</v>
      </c>
      <c r="D95" s="678">
        <f t="shared" ref="D95:F95" ca="1" si="26">SUM(E80:E82)-SUM(D82:D82)</f>
        <v>4133993154.6892948</v>
      </c>
      <c r="E95" s="677">
        <f t="shared" ca="1" si="26"/>
        <v>4717486521.121788</v>
      </c>
      <c r="F95" s="678">
        <f t="shared" ca="1" si="26"/>
        <v>5402706434.7352324</v>
      </c>
      <c r="G95" s="712"/>
    </row>
    <row r="96" spans="2:7">
      <c r="B96" s="717" t="s">
        <v>66</v>
      </c>
      <c r="C96" s="677">
        <f ca="1">(D63-C63)</f>
        <v>-5159080638.182579</v>
      </c>
      <c r="D96" s="678">
        <f ca="1">-(E63-D63)</f>
        <v>-391547252.4487381</v>
      </c>
      <c r="E96" s="677">
        <f ca="1">-(F63-E63)</f>
        <v>-636887075.02978134</v>
      </c>
      <c r="F96" s="689">
        <f ca="1">-(G63-F63)</f>
        <v>-663135063.91099548</v>
      </c>
      <c r="G96" s="712"/>
    </row>
    <row r="97" spans="2:7">
      <c r="B97" s="717" t="s">
        <v>67</v>
      </c>
      <c r="C97" s="677">
        <f>-((1-$H$24)*D45)</f>
        <v>138364.65312984231</v>
      </c>
      <c r="D97" s="678">
        <f>-((1-$H$24)*E45)</f>
        <v>164123.95133564508</v>
      </c>
      <c r="E97" s="677">
        <f>-((1-$H$24)*F45)</f>
        <v>194678.8489163316</v>
      </c>
      <c r="F97" s="689">
        <f>-((1-$H$24)*G45)</f>
        <v>230922.14089995914</v>
      </c>
      <c r="G97" s="712"/>
    </row>
    <row r="98" spans="2:7">
      <c r="B98" s="717" t="s">
        <v>68</v>
      </c>
      <c r="C98" s="677">
        <f ca="1">-(D44*(1-$H$24))</f>
        <v>-16486937604.380779</v>
      </c>
      <c r="D98" s="678">
        <f ca="1">-(E44*(1-$H$24))</f>
        <v>-16779284913.716448</v>
      </c>
      <c r="E98" s="677">
        <f ca="1">-(F44*(1-$H$24))</f>
        <v>-17254814295.090408</v>
      </c>
      <c r="F98" s="689">
        <f ca="1">-(G44*(1-$H$24))</f>
        <v>-17749941640.380356</v>
      </c>
      <c r="G98" s="712"/>
    </row>
    <row r="99" spans="2:7">
      <c r="B99" s="714"/>
      <c r="C99" s="680"/>
      <c r="D99" s="680"/>
      <c r="E99" s="680"/>
      <c r="F99" s="681"/>
      <c r="G99" s="712"/>
    </row>
    <row r="100" spans="2:7" ht="16.5" thickBot="1">
      <c r="B100" s="730" t="s">
        <v>69</v>
      </c>
      <c r="C100" s="688">
        <f t="shared" ref="C100:F100" ca="1" si="27">SUM(C92:C98)</f>
        <v>3518488407.0943336</v>
      </c>
      <c r="D100" s="688">
        <f t="shared" ca="1" si="27"/>
        <v>9309470360.9491291</v>
      </c>
      <c r="E100" s="688">
        <f t="shared" ca="1" si="27"/>
        <v>10009072169.481689</v>
      </c>
      <c r="F100" s="690">
        <f t="shared" ca="1" si="27"/>
        <v>11049815900.944241</v>
      </c>
      <c r="G100" s="712"/>
    </row>
    <row r="101" spans="2:7" ht="14.25">
      <c r="B101" s="712"/>
      <c r="C101" s="712"/>
      <c r="D101" s="712"/>
      <c r="E101" s="712"/>
      <c r="F101" s="712"/>
      <c r="G101" s="712"/>
    </row>
    <row r="102" spans="2:7" thickBot="1">
      <c r="B102" s="712"/>
      <c r="C102" s="712"/>
      <c r="D102" s="712"/>
      <c r="E102" s="712"/>
      <c r="F102" s="712"/>
      <c r="G102" s="712"/>
    </row>
    <row r="103" spans="2:7" ht="15.75">
      <c r="B103" s="731"/>
      <c r="C103" s="691">
        <v>2021</v>
      </c>
      <c r="D103" s="691">
        <v>2022</v>
      </c>
      <c r="E103" s="691">
        <v>2023</v>
      </c>
      <c r="F103" s="692">
        <v>2024</v>
      </c>
      <c r="G103" s="712"/>
    </row>
    <row r="104" spans="2:7">
      <c r="B104" s="732" t="s">
        <v>69</v>
      </c>
      <c r="C104" s="693">
        <f ca="1">C100</f>
        <v>3518488407.0943336</v>
      </c>
      <c r="D104" s="694">
        <f ca="1">D100</f>
        <v>9309470360.9491291</v>
      </c>
      <c r="E104" s="693">
        <f ca="1">E100</f>
        <v>10009072169.481689</v>
      </c>
      <c r="F104" s="695">
        <f ca="1">F100</f>
        <v>11049815900.944241</v>
      </c>
      <c r="G104" s="712"/>
    </row>
    <row r="105" spans="2:7">
      <c r="B105" s="732" t="s">
        <v>71</v>
      </c>
      <c r="C105" s="696"/>
      <c r="D105" s="684"/>
      <c r="E105" s="696"/>
      <c r="F105" s="695">
        <f ca="1">(F104*(1+F112)/(F113-F112))</f>
        <v>263341538694.44049</v>
      </c>
      <c r="G105" s="712"/>
    </row>
    <row r="106" spans="2:7" ht="15.75" thickBot="1">
      <c r="B106" s="733" t="s">
        <v>73</v>
      </c>
      <c r="C106" s="697">
        <f t="shared" ref="C106:F106" ca="1" si="28">C104+C105</f>
        <v>3518488407.0943336</v>
      </c>
      <c r="D106" s="698">
        <f t="shared" ca="1" si="28"/>
        <v>9309470360.9491291</v>
      </c>
      <c r="E106" s="697">
        <f t="shared" ca="1" si="28"/>
        <v>10009072169.481689</v>
      </c>
      <c r="F106" s="699">
        <f t="shared" ca="1" si="28"/>
        <v>274391354595.38474</v>
      </c>
      <c r="G106" s="712"/>
    </row>
    <row r="107" spans="2:7" ht="14.25">
      <c r="B107" s="712"/>
      <c r="C107" s="712"/>
      <c r="D107" s="712"/>
      <c r="E107" s="712"/>
      <c r="F107" s="712"/>
      <c r="G107" s="712"/>
    </row>
    <row r="108" spans="2:7" ht="14.25">
      <c r="B108" s="712"/>
      <c r="C108" s="712"/>
      <c r="D108" s="712"/>
      <c r="E108" s="712"/>
      <c r="F108" s="712"/>
      <c r="G108" s="712"/>
    </row>
    <row r="109" spans="2:7" ht="14.25">
      <c r="B109" s="712"/>
      <c r="C109" s="712"/>
      <c r="D109" s="712"/>
      <c r="E109" s="712"/>
      <c r="F109" s="712"/>
      <c r="G109" s="712"/>
    </row>
    <row r="110" spans="2:7" thickBot="1">
      <c r="B110" s="712"/>
      <c r="C110" s="712"/>
      <c r="D110" s="712"/>
      <c r="E110" s="712"/>
      <c r="F110" s="712"/>
      <c r="G110" s="712"/>
    </row>
    <row r="111" spans="2:7">
      <c r="B111" s="731" t="s">
        <v>76</v>
      </c>
      <c r="C111" s="545">
        <f t="array" ref="C111" ca="1">NPV(F113,C106:F106)*((1+F113)^0.5)</f>
        <v>212960999556.30548</v>
      </c>
      <c r="D111" s="712"/>
      <c r="E111" s="734" t="s">
        <v>70</v>
      </c>
      <c r="F111" s="735">
        <f>WACC!D17</f>
        <v>0.24282664203476423</v>
      </c>
    </row>
    <row r="112" spans="2:7">
      <c r="B112" s="717" t="str">
        <f>EMV!B14</f>
        <v>Share Price as of July 06, 2021</v>
      </c>
      <c r="C112" s="549">
        <f>EMV!C14</f>
        <v>217.9</v>
      </c>
      <c r="D112" s="712"/>
      <c r="E112" s="736" t="s">
        <v>72</v>
      </c>
      <c r="F112" s="737">
        <v>0.06</v>
      </c>
    </row>
    <row r="113" spans="2:9" ht="28.5" thickBot="1">
      <c r="B113" s="552" t="s">
        <v>77</v>
      </c>
      <c r="C113" s="553">
        <f ca="1">C111/F114</f>
        <v>252.2520103024012</v>
      </c>
      <c r="D113" s="738"/>
      <c r="E113" s="739" t="s">
        <v>74</v>
      </c>
      <c r="F113" s="740">
        <f>WACC!K9</f>
        <v>0.1044776198736784</v>
      </c>
    </row>
    <row r="114" spans="2:9" ht="15.75" thickBot="1">
      <c r="B114" s="712"/>
      <c r="C114" s="712"/>
      <c r="D114" s="741"/>
      <c r="E114" s="742" t="s">
        <v>75</v>
      </c>
      <c r="F114" s="743">
        <f>EMV!C16</f>
        <v>844239058</v>
      </c>
    </row>
    <row r="115" spans="2:9" ht="14.25">
      <c r="B115" s="712"/>
      <c r="C115" s="712"/>
      <c r="D115" s="744"/>
      <c r="E115" s="712"/>
      <c r="F115" s="712"/>
      <c r="G115" s="712"/>
    </row>
    <row r="116" spans="2:9" ht="14.25">
      <c r="D116" s="745"/>
    </row>
    <row r="117" spans="2:9" ht="14.25"/>
    <row r="118" spans="2:9" ht="14.25"/>
    <row r="119" spans="2:9" ht="14.25"/>
    <row r="120" spans="2:9" ht="14.25">
      <c r="H120" s="707"/>
    </row>
    <row r="121" spans="2:9" ht="14.25"/>
    <row r="122" spans="2:9" ht="14.25"/>
    <row r="123" spans="2:9" ht="14.25">
      <c r="I123" s="707"/>
    </row>
    <row r="124" spans="2:9" ht="14.25" customHeight="1"/>
    <row r="125" spans="2:9" ht="14.25" customHeight="1"/>
    <row r="126" spans="2:9" ht="14.25" customHeight="1"/>
    <row r="127" spans="2:9" ht="14.25" customHeight="1"/>
    <row r="128" spans="2:9" ht="14.25" customHeight="1"/>
    <row r="129" s="701" customFormat="1" ht="14.25" customHeight="1"/>
    <row r="130" s="701" customFormat="1" ht="14.25" customHeight="1"/>
    <row r="131" s="701" customFormat="1" ht="14.25" customHeight="1"/>
    <row r="132" s="701" customFormat="1" ht="14.25" customHeight="1"/>
    <row r="133" s="701" customFormat="1" ht="14.25" customHeight="1"/>
    <row r="134" s="701" customFormat="1" ht="14.25" customHeight="1"/>
    <row r="135" s="701" customFormat="1" ht="14.25" customHeight="1"/>
    <row r="136" s="701" customFormat="1" ht="14.25" customHeight="1"/>
    <row r="137" s="701" customFormat="1" ht="14.25" customHeight="1"/>
    <row r="138" s="701" customFormat="1" ht="14.25" customHeight="1"/>
    <row r="139" s="701" customFormat="1" ht="14.25" customHeight="1"/>
    <row r="140" s="701" customFormat="1" ht="14.25" customHeight="1"/>
    <row r="141" s="701" customFormat="1" ht="14.25" customHeight="1"/>
    <row r="142" s="701" customFormat="1" ht="14.25" customHeight="1"/>
    <row r="143" s="701" customFormat="1" ht="14.25" customHeight="1"/>
    <row r="144" s="701" customFormat="1" ht="14.25" customHeight="1"/>
    <row r="145" s="701" customFormat="1" ht="14.25" customHeight="1"/>
    <row r="146" s="701" customFormat="1" ht="14.25" customHeight="1"/>
    <row r="147" s="701" customFormat="1" ht="14.25" customHeight="1"/>
    <row r="148" s="701" customFormat="1" ht="14.25" customHeight="1"/>
    <row r="149" s="701" customFormat="1" ht="14.25" customHeight="1"/>
    <row r="150" s="701" customFormat="1" ht="14.25" customHeight="1"/>
    <row r="151" s="701" customFormat="1" ht="14.25" customHeight="1"/>
    <row r="152" s="701" customFormat="1" ht="14.25" customHeight="1"/>
    <row r="153" s="701" customFormat="1" ht="14.25" customHeight="1"/>
    <row r="154" s="701" customFormat="1" ht="14.25" customHeight="1"/>
    <row r="155" s="701" customFormat="1" ht="14.25" customHeight="1"/>
    <row r="156" s="701" customFormat="1" ht="14.25" customHeight="1"/>
    <row r="157" s="701" customFormat="1" ht="14.25" customHeight="1"/>
    <row r="158" s="701" customFormat="1" ht="14.25" customHeight="1"/>
    <row r="159" s="701" customFormat="1" ht="14.25" customHeight="1"/>
    <row r="160" s="701" customFormat="1" ht="14.25" customHeight="1"/>
    <row r="161" s="701" customFormat="1" ht="14.25" customHeight="1"/>
    <row r="162" s="701" customFormat="1" ht="14.25" customHeight="1"/>
    <row r="163" s="701" customFormat="1" ht="14.25" customHeight="1"/>
    <row r="164" s="701" customFormat="1" ht="14.25" customHeight="1"/>
    <row r="165" s="701" customFormat="1" ht="14.25" customHeight="1"/>
    <row r="166" s="701" customFormat="1" ht="14.25" customHeight="1"/>
    <row r="167" s="701" customFormat="1" ht="14.25" customHeight="1"/>
    <row r="168" s="701" customFormat="1" ht="14.25" customHeight="1"/>
    <row r="169" s="701" customFormat="1" ht="14.25" customHeight="1"/>
    <row r="170" s="701" customFormat="1" ht="14.25" customHeight="1"/>
    <row r="171" s="701" customFormat="1" ht="14.25" customHeight="1"/>
    <row r="172" s="701" customFormat="1" ht="14.25" customHeight="1"/>
    <row r="173" s="701" customFormat="1" ht="14.25" customHeight="1"/>
    <row r="174" s="701" customFormat="1" ht="14.25" customHeight="1"/>
    <row r="175" s="701" customFormat="1" ht="14.25" customHeight="1"/>
    <row r="176" s="701" customFormat="1" ht="14.25" customHeight="1"/>
    <row r="177" s="701" customFormat="1" ht="14.25" customHeight="1"/>
    <row r="178" s="701" customFormat="1" ht="14.25" customHeight="1"/>
    <row r="179" s="701" customFormat="1" ht="14.25" customHeight="1"/>
    <row r="180" s="701" customFormat="1" ht="14.25" customHeight="1"/>
    <row r="181" s="701" customFormat="1" ht="14.25" customHeight="1"/>
    <row r="182" s="701" customFormat="1" ht="14.25" customHeight="1"/>
    <row r="183" s="701" customFormat="1" ht="14.25" customHeight="1"/>
    <row r="184" s="701" customFormat="1" ht="14.25" customHeight="1"/>
    <row r="185" s="701" customFormat="1" ht="14.25" customHeight="1"/>
    <row r="186" s="701" customFormat="1" ht="14.25" customHeight="1"/>
    <row r="187" s="701" customFormat="1" ht="14.25" customHeight="1"/>
    <row r="188" s="701" customFormat="1" ht="14.25" customHeight="1"/>
    <row r="189" s="701" customFormat="1" ht="14.25" customHeight="1"/>
    <row r="190" s="701" customFormat="1" ht="14.25" customHeight="1"/>
    <row r="191" s="701" customFormat="1" ht="14.25" customHeight="1"/>
    <row r="192" s="701" customFormat="1" ht="14.25" customHeight="1"/>
    <row r="193" s="701" customFormat="1" ht="14.25" customHeight="1"/>
    <row r="194" s="701" customFormat="1" ht="14.25" customHeight="1"/>
    <row r="195" s="701" customFormat="1" ht="14.25" customHeight="1"/>
    <row r="196" s="701" customFormat="1" ht="14.25" customHeight="1"/>
    <row r="197" s="701" customFormat="1" ht="14.25" customHeight="1"/>
    <row r="198" s="701" customFormat="1" ht="14.25" customHeight="1"/>
    <row r="199" s="701" customFormat="1" ht="14.25" customHeight="1"/>
    <row r="200" s="701" customFormat="1" ht="14.25" customHeight="1"/>
    <row r="201" s="701" customFormat="1" ht="14.25" customHeight="1"/>
    <row r="202" s="701" customFormat="1" ht="14.25" customHeight="1"/>
    <row r="203" s="701" customFormat="1" ht="14.25" customHeight="1"/>
    <row r="204" s="701" customFormat="1" ht="14.25" customHeight="1"/>
    <row r="205" s="701" customFormat="1" ht="14.25" customHeight="1"/>
    <row r="206" s="701" customFormat="1" ht="14.25" customHeight="1"/>
    <row r="207" s="701" customFormat="1" ht="14.25" customHeight="1"/>
    <row r="208" s="701" customFormat="1" ht="14.25" customHeight="1"/>
    <row r="209" s="701" customFormat="1" ht="14.25" customHeight="1"/>
    <row r="210" s="701" customFormat="1" ht="14.25" customHeight="1"/>
    <row r="211" s="701" customFormat="1" ht="14.25" customHeight="1"/>
    <row r="212" s="701" customFormat="1" ht="14.25" customHeight="1"/>
    <row r="213" s="701" customFormat="1" ht="14.25" customHeight="1"/>
    <row r="214" s="701" customFormat="1" ht="14.25" customHeight="1"/>
    <row r="215" s="701" customFormat="1" ht="14.25" customHeight="1"/>
    <row r="216" s="701" customFormat="1" ht="14.25" customHeight="1"/>
    <row r="217" s="701" customFormat="1" ht="14.25" customHeight="1"/>
    <row r="218" s="701" customFormat="1" ht="14.25" customHeight="1"/>
    <row r="219" s="701" customFormat="1" ht="14.25" customHeight="1"/>
    <row r="220" s="701" customFormat="1" ht="14.25" customHeight="1"/>
    <row r="221" s="701" customFormat="1" ht="14.25" customHeight="1"/>
    <row r="222" s="701" customFormat="1" ht="14.25" customHeight="1"/>
    <row r="223" s="701" customFormat="1" ht="14.25" customHeight="1"/>
    <row r="224" s="701" customFormat="1" ht="14.25" customHeight="1"/>
    <row r="225" s="701" customFormat="1" ht="14.25" customHeight="1"/>
    <row r="226" s="701" customFormat="1" ht="14.25" customHeight="1"/>
    <row r="227" s="701" customFormat="1" ht="14.25" customHeight="1"/>
    <row r="228" s="701" customFormat="1" ht="14.25" customHeight="1"/>
    <row r="229" s="701" customFormat="1" ht="14.25" customHeight="1"/>
    <row r="230" s="701" customFormat="1" ht="14.25" customHeight="1"/>
    <row r="231" s="701" customFormat="1" ht="14.25" customHeight="1"/>
    <row r="232" s="701" customFormat="1" ht="14.25" customHeight="1"/>
    <row r="233" s="701" customFormat="1" ht="14.25" customHeight="1"/>
    <row r="234" s="701" customFormat="1" ht="14.25" customHeight="1"/>
    <row r="235" s="701" customFormat="1" ht="14.25" customHeight="1"/>
    <row r="236" s="701" customFormat="1" ht="14.25" customHeight="1"/>
    <row r="237" s="701" customFormat="1" ht="14.25" customHeight="1"/>
    <row r="238" s="701" customFormat="1" ht="14.25" customHeight="1"/>
    <row r="239" s="701" customFormat="1" ht="14.25" customHeight="1"/>
    <row r="240" s="701" customFormat="1" ht="14.25" customHeight="1"/>
    <row r="241" s="701" customFormat="1" ht="14.25" customHeight="1"/>
    <row r="242" s="701" customFormat="1" ht="14.25" customHeight="1"/>
    <row r="243" s="701" customFormat="1" ht="14.25" customHeight="1"/>
    <row r="244" s="701" customFormat="1" ht="14.25" customHeight="1"/>
    <row r="245" s="701" customFormat="1" ht="14.25" customHeight="1"/>
    <row r="246" s="701" customFormat="1" ht="14.25" customHeight="1"/>
    <row r="247" s="701" customFormat="1" ht="14.25" customHeight="1"/>
    <row r="248" s="701" customFormat="1" ht="14.25" customHeight="1"/>
    <row r="249" s="701" customFormat="1" ht="14.25" customHeight="1"/>
    <row r="250" s="701" customFormat="1" ht="14.25" customHeight="1"/>
    <row r="251" s="701" customFormat="1" ht="14.25" customHeight="1"/>
    <row r="252" s="701" customFormat="1" ht="14.25" customHeight="1"/>
    <row r="253" s="701" customFormat="1" ht="14.25" customHeight="1"/>
    <row r="254" s="701" customFormat="1" ht="14.25" customHeight="1"/>
    <row r="255" s="701" customFormat="1" ht="14.25" customHeight="1"/>
    <row r="256" s="701" customFormat="1" ht="14.25" customHeight="1"/>
    <row r="257" s="701" customFormat="1" ht="14.25" customHeight="1"/>
    <row r="258" s="701" customFormat="1" ht="14.25" customHeight="1"/>
    <row r="259" s="701" customFormat="1" ht="14.25" customHeight="1"/>
    <row r="260" s="701" customFormat="1" ht="14.25" customHeight="1"/>
    <row r="261" s="701" customFormat="1" ht="14.25" customHeight="1"/>
    <row r="262" s="701" customFormat="1" ht="14.25" customHeight="1"/>
    <row r="263" s="701" customFormat="1" ht="14.25" customHeight="1"/>
    <row r="264" s="701" customFormat="1" ht="14.25" customHeight="1"/>
    <row r="265" s="701" customFormat="1" ht="14.25" customHeight="1"/>
    <row r="266" s="701" customFormat="1" ht="14.25" customHeight="1"/>
    <row r="267" s="701" customFormat="1" ht="14.25" customHeight="1"/>
    <row r="268" s="701" customFormat="1" ht="14.25" customHeight="1"/>
    <row r="269" s="701" customFormat="1" ht="14.25" customHeight="1"/>
    <row r="270" s="701" customFormat="1" ht="14.25" customHeight="1"/>
    <row r="271" s="701" customFormat="1" ht="14.25" customHeight="1"/>
    <row r="272" s="701" customFormat="1" ht="14.25" customHeight="1"/>
    <row r="273" s="701" customFormat="1" ht="14.25" customHeight="1"/>
    <row r="274" s="701" customFormat="1" ht="14.25" customHeight="1"/>
    <row r="275" s="701" customFormat="1" ht="14.25" customHeight="1"/>
    <row r="276" s="701" customFormat="1" ht="14.25" customHeight="1"/>
    <row r="277" s="701" customFormat="1" ht="14.25" customHeight="1"/>
    <row r="278" s="701" customFormat="1" ht="14.25" customHeight="1"/>
    <row r="279" s="701" customFormat="1" ht="14.25" customHeight="1"/>
    <row r="280" s="701" customFormat="1" ht="14.25" customHeight="1"/>
    <row r="281" s="701" customFormat="1" ht="14.25" customHeight="1"/>
    <row r="282" s="701" customFormat="1" ht="14.25" customHeight="1"/>
    <row r="283" s="701" customFormat="1" ht="14.25" customHeight="1"/>
    <row r="284" s="701" customFormat="1" ht="14.25" customHeight="1"/>
    <row r="285" s="701" customFormat="1" ht="14.25" customHeight="1"/>
    <row r="286" s="701" customFormat="1" ht="14.25" customHeight="1"/>
    <row r="287" s="701" customFormat="1" ht="14.25" customHeight="1"/>
    <row r="288" s="701" customFormat="1" ht="14.25" customHeight="1"/>
    <row r="289" s="701" customFormat="1" ht="14.25" customHeight="1"/>
    <row r="290" s="701" customFormat="1" ht="14.25" customHeight="1"/>
    <row r="291" s="701" customFormat="1" ht="14.25" customHeight="1"/>
    <row r="292" s="701" customFormat="1" ht="14.25" customHeight="1"/>
    <row r="293" s="701" customFormat="1" ht="14.25" customHeight="1"/>
    <row r="294" s="701" customFormat="1" ht="14.25" customHeight="1"/>
    <row r="295" s="701" customFormat="1" ht="14.25" customHeight="1"/>
    <row r="296" s="701" customFormat="1" ht="14.25" customHeight="1"/>
    <row r="297" s="701" customFormat="1" ht="14.25" customHeight="1"/>
    <row r="298" s="701" customFormat="1" ht="14.25" customHeight="1"/>
    <row r="299" s="701" customFormat="1" ht="14.25" customHeight="1"/>
    <row r="300" s="701" customFormat="1" ht="14.25" customHeight="1"/>
    <row r="301" s="701" customFormat="1" ht="14.25" customHeight="1"/>
    <row r="302" s="701" customFormat="1" ht="14.25" customHeight="1"/>
    <row r="303" s="701" customFormat="1" ht="14.25" customHeight="1"/>
    <row r="304" s="701" customFormat="1" ht="14.25" customHeight="1"/>
    <row r="305" s="701" customFormat="1" ht="14.25" customHeight="1"/>
    <row r="306" s="701" customFormat="1" ht="14.25" customHeight="1"/>
    <row r="307" s="701" customFormat="1" ht="14.25" customHeight="1"/>
    <row r="308" s="701" customFormat="1" ht="14.25" customHeight="1"/>
    <row r="309" s="701" customFormat="1" ht="14.25" customHeight="1"/>
    <row r="310" s="701" customFormat="1" ht="14.25" customHeight="1"/>
    <row r="311" s="701" customFormat="1" ht="14.25" customHeight="1"/>
    <row r="312" s="701" customFormat="1" ht="14.25" customHeight="1"/>
    <row r="313" s="701" customFormat="1" ht="14.25" customHeight="1"/>
    <row r="314" s="701" customFormat="1" ht="14.25" customHeight="1"/>
    <row r="315" s="701" customFormat="1" ht="14.25" customHeight="1"/>
    <row r="316" s="701" customFormat="1" ht="14.25" customHeight="1"/>
    <row r="317" s="701" customFormat="1" ht="14.25" customHeight="1"/>
    <row r="318" s="701" customFormat="1" ht="14.25" customHeight="1"/>
    <row r="319" s="701" customFormat="1" ht="14.25" customHeight="1"/>
    <row r="320" s="701" customFormat="1" ht="14.25" customHeight="1"/>
    <row r="321" s="701" customFormat="1" ht="14.25" customHeight="1"/>
    <row r="322" s="701" customFormat="1" ht="14.25" customHeight="1"/>
    <row r="323" s="701" customFormat="1" ht="14.25" customHeight="1"/>
    <row r="324" s="701" customFormat="1" ht="14.25" customHeight="1"/>
    <row r="325" s="701" customFormat="1" ht="14.25" customHeight="1"/>
    <row r="326" s="701" customFormat="1" ht="14.25" customHeight="1"/>
    <row r="327" s="701" customFormat="1" ht="14.25" customHeight="1"/>
    <row r="328" s="701" customFormat="1" ht="14.25" customHeight="1"/>
    <row r="329" s="701" customFormat="1" ht="14.25" customHeight="1"/>
    <row r="330" s="701" customFormat="1" ht="14.25" customHeight="1"/>
    <row r="331" s="701" customFormat="1" ht="14.25" customHeight="1"/>
    <row r="332" s="701" customFormat="1" ht="14.25" customHeight="1"/>
    <row r="333" s="701" customFormat="1" ht="14.25" customHeight="1"/>
    <row r="334" s="701" customFormat="1" ht="14.25" customHeight="1"/>
    <row r="335" s="701" customFormat="1" ht="14.25" customHeight="1"/>
    <row r="336" s="701" customFormat="1" ht="14.25" customHeight="1"/>
    <row r="337" s="701" customFormat="1" ht="14.25" customHeight="1"/>
    <row r="338" s="701" customFormat="1" ht="14.25" customHeight="1"/>
    <row r="339" s="701" customFormat="1" ht="14.25" customHeight="1"/>
    <row r="340" s="701" customFormat="1" ht="14.25" customHeight="1"/>
    <row r="341" s="701" customFormat="1" ht="14.25" customHeight="1"/>
    <row r="342" s="701" customFormat="1" ht="14.25" customHeight="1"/>
    <row r="343" s="701" customFormat="1" ht="14.25" customHeight="1"/>
    <row r="344" s="701" customFormat="1" ht="14.25" customHeight="1"/>
    <row r="345" s="701" customFormat="1" ht="14.25" customHeight="1"/>
    <row r="346" s="701" customFormat="1" ht="14.25" customHeight="1"/>
    <row r="347" s="701" customFormat="1" ht="14.25" customHeight="1"/>
    <row r="348" s="701" customFormat="1" ht="14.25" customHeight="1"/>
    <row r="349" s="701" customFormat="1" ht="14.25" customHeight="1"/>
    <row r="350" s="701" customFormat="1" ht="14.25" customHeight="1"/>
    <row r="351" s="701" customFormat="1" ht="14.25" customHeight="1"/>
    <row r="352" s="701" customFormat="1" ht="14.25" customHeight="1"/>
    <row r="353" s="701" customFormat="1" ht="14.25" customHeight="1"/>
    <row r="354" s="701" customFormat="1" ht="14.25" customHeight="1"/>
    <row r="355" s="701" customFormat="1" ht="14.25" customHeight="1"/>
    <row r="356" s="701" customFormat="1" ht="14.25" customHeight="1"/>
    <row r="357" s="701" customFormat="1" ht="14.25" customHeight="1"/>
    <row r="358" s="701" customFormat="1" ht="14.25" customHeight="1"/>
    <row r="359" s="701" customFormat="1" ht="14.25" customHeight="1"/>
    <row r="360" s="701" customFormat="1" ht="14.25" customHeight="1"/>
    <row r="361" s="701" customFormat="1" ht="14.25" customHeight="1"/>
    <row r="362" s="701" customFormat="1" ht="14.25" customHeight="1"/>
    <row r="363" s="701" customFormat="1" ht="14.25" customHeight="1"/>
    <row r="364" s="701" customFormat="1" ht="14.25" customHeight="1"/>
    <row r="365" s="701" customFormat="1" ht="14.25" customHeight="1"/>
    <row r="366" s="701" customFormat="1" ht="14.25" customHeight="1"/>
    <row r="367" s="701" customFormat="1" ht="14.25" customHeight="1"/>
    <row r="368" s="701" customFormat="1" ht="14.25" customHeight="1"/>
    <row r="369" s="701" customFormat="1" ht="14.25" customHeight="1"/>
    <row r="370" s="701" customFormat="1" ht="14.25" customHeight="1"/>
    <row r="371" s="701" customFormat="1" ht="14.25" customHeight="1"/>
    <row r="372" s="701" customFormat="1" ht="14.25" customHeight="1"/>
    <row r="373" s="701" customFormat="1" ht="14.25" customHeight="1"/>
    <row r="374" s="701" customFormat="1" ht="14.25" customHeight="1"/>
    <row r="375" s="701" customFormat="1" ht="14.25" customHeight="1"/>
    <row r="376" s="701" customFormat="1" ht="14.25" customHeight="1"/>
    <row r="377" s="701" customFormat="1" ht="14.25" customHeight="1"/>
    <row r="378" s="701" customFormat="1" ht="14.25" customHeight="1"/>
    <row r="379" s="701" customFormat="1" ht="14.25" customHeight="1"/>
    <row r="380" s="701" customFormat="1" ht="14.25" customHeight="1"/>
    <row r="381" s="701" customFormat="1" ht="14.25" customHeight="1"/>
    <row r="382" s="701" customFormat="1" ht="14.25" customHeight="1"/>
    <row r="383" s="701" customFormat="1" ht="14.25" customHeight="1"/>
    <row r="384" s="701" customFormat="1" ht="14.25" customHeight="1"/>
    <row r="385" s="701" customFormat="1" ht="14.25" customHeight="1"/>
    <row r="386" s="701" customFormat="1" ht="14.25" customHeight="1"/>
    <row r="387" s="701" customFormat="1" ht="14.25" customHeight="1"/>
    <row r="388" s="701" customFormat="1" ht="14.25" customHeight="1"/>
    <row r="389" s="701" customFormat="1" ht="14.25" customHeight="1"/>
    <row r="390" s="701" customFormat="1" ht="14.25" customHeight="1"/>
    <row r="391" s="701" customFormat="1" ht="14.25" customHeight="1"/>
    <row r="392" s="701" customFormat="1" ht="14.25" customHeight="1"/>
    <row r="393" s="701" customFormat="1" ht="14.25" customHeight="1"/>
    <row r="394" s="701" customFormat="1" ht="14.25" customHeight="1"/>
    <row r="395" s="701" customFormat="1" ht="14.25" customHeight="1"/>
    <row r="396" s="701" customFormat="1" ht="14.25" customHeight="1"/>
    <row r="397" s="701" customFormat="1" ht="14.25" customHeight="1"/>
    <row r="398" s="701" customFormat="1" ht="14.25" customHeight="1"/>
    <row r="399" s="701" customFormat="1" ht="14.25" customHeight="1"/>
    <row r="400" s="701" customFormat="1" ht="14.25" customHeight="1"/>
    <row r="401" s="701" customFormat="1" ht="14.25" customHeight="1"/>
    <row r="402" s="701" customFormat="1" ht="14.25" customHeight="1"/>
    <row r="403" s="701" customFormat="1" ht="14.25" customHeight="1"/>
    <row r="404" s="701" customFormat="1" ht="14.25" customHeight="1"/>
    <row r="405" s="701" customFormat="1" ht="14.25" customHeight="1"/>
    <row r="406" s="701" customFormat="1" ht="14.25" customHeight="1"/>
    <row r="407" s="701" customFormat="1" ht="14.25" customHeight="1"/>
    <row r="408" s="701" customFormat="1" ht="14.25" customHeight="1"/>
    <row r="409" s="701" customFormat="1" ht="14.25" customHeight="1"/>
    <row r="410" s="701" customFormat="1" ht="14.25" customHeight="1"/>
    <row r="411" s="701" customFormat="1" ht="14.25" customHeight="1"/>
    <row r="412" s="701" customFormat="1" ht="14.25" customHeight="1"/>
    <row r="413" s="701" customFormat="1" ht="14.25" customHeight="1"/>
    <row r="414" s="701" customFormat="1" ht="14.25" customHeight="1"/>
    <row r="415" s="701" customFormat="1" ht="14.25" customHeight="1"/>
    <row r="416" s="701" customFormat="1" ht="14.25" customHeight="1"/>
    <row r="417" s="701" customFormat="1" ht="14.25" customHeight="1"/>
    <row r="418" s="701" customFormat="1" ht="14.25" customHeight="1"/>
    <row r="419" s="701" customFormat="1" ht="14.25" customHeight="1"/>
    <row r="420" s="701" customFormat="1" ht="14.25" customHeight="1"/>
    <row r="421" s="701" customFormat="1" ht="14.25" customHeight="1"/>
    <row r="422" s="701" customFormat="1" ht="14.25" customHeight="1"/>
    <row r="423" s="701" customFormat="1" ht="14.25" customHeight="1"/>
    <row r="424" s="701" customFormat="1" ht="14.25" customHeight="1"/>
    <row r="425" s="701" customFormat="1" ht="14.25" customHeight="1"/>
    <row r="426" s="701" customFormat="1" ht="14.25" customHeight="1"/>
    <row r="427" s="701" customFormat="1" ht="14.25" customHeight="1"/>
    <row r="428" s="701" customFormat="1" ht="14.25" customHeight="1"/>
    <row r="429" s="701" customFormat="1" ht="14.25" customHeight="1"/>
    <row r="430" s="701" customFormat="1" ht="14.25" customHeight="1"/>
    <row r="431" s="701" customFormat="1" ht="14.25" customHeight="1"/>
    <row r="432" s="701" customFormat="1" ht="14.25" customHeight="1"/>
    <row r="433" s="701" customFormat="1" ht="14.25" customHeight="1"/>
    <row r="434" s="701" customFormat="1" ht="14.25" customHeight="1"/>
    <row r="435" s="701" customFormat="1" ht="14.25" customHeight="1"/>
    <row r="436" s="701" customFormat="1" ht="14.25" customHeight="1"/>
    <row r="437" s="701" customFormat="1" ht="14.25" customHeight="1"/>
    <row r="438" s="701" customFormat="1" ht="14.25" customHeight="1"/>
    <row r="439" s="701" customFormat="1" ht="14.25" customHeight="1"/>
    <row r="440" s="701" customFormat="1" ht="14.25" customHeight="1"/>
    <row r="441" s="701" customFormat="1" ht="14.25" customHeight="1"/>
    <row r="442" s="701" customFormat="1" ht="14.25" customHeight="1"/>
    <row r="443" s="701" customFormat="1" ht="14.25" customHeight="1"/>
    <row r="444" s="701" customFormat="1" ht="14.25" customHeight="1"/>
    <row r="445" s="701" customFormat="1" ht="14.25" customHeight="1"/>
    <row r="446" s="701" customFormat="1" ht="14.25" customHeight="1"/>
    <row r="447" s="701" customFormat="1" ht="14.25" customHeight="1"/>
    <row r="448" s="701" customFormat="1" ht="14.25" customHeight="1"/>
    <row r="449" s="701" customFormat="1" ht="14.25" customHeight="1"/>
    <row r="450" s="701" customFormat="1" ht="14.25" customHeight="1"/>
    <row r="451" s="701" customFormat="1" ht="14.25" customHeight="1"/>
    <row r="452" s="701" customFormat="1" ht="14.25" customHeight="1"/>
    <row r="453" s="701" customFormat="1" ht="14.25" customHeight="1"/>
    <row r="454" s="701" customFormat="1" ht="14.25" customHeight="1"/>
    <row r="455" s="701" customFormat="1" ht="14.25" customHeight="1"/>
    <row r="456" s="701" customFormat="1" ht="14.25" customHeight="1"/>
    <row r="457" s="701" customFormat="1" ht="14.25" customHeight="1"/>
    <row r="458" s="701" customFormat="1" ht="14.25" customHeight="1"/>
    <row r="459" s="701" customFormat="1" ht="14.25" customHeight="1"/>
    <row r="460" s="701" customFormat="1" ht="14.25" customHeight="1"/>
    <row r="461" s="701" customFormat="1" ht="14.25" customHeight="1"/>
    <row r="462" s="701" customFormat="1" ht="14.25" customHeight="1"/>
    <row r="463" s="701" customFormat="1" ht="14.25" customHeight="1"/>
    <row r="464" s="701" customFormat="1" ht="14.25" customHeight="1"/>
    <row r="465" s="701" customFormat="1" ht="14.25" customHeight="1"/>
    <row r="466" s="701" customFormat="1" ht="14.25" customHeight="1"/>
    <row r="467" s="701" customFormat="1" ht="14.25" customHeight="1"/>
    <row r="468" s="701" customFormat="1" ht="14.25" customHeight="1"/>
    <row r="469" s="701" customFormat="1" ht="14.25" customHeight="1"/>
    <row r="470" s="701" customFormat="1" ht="14.25" customHeight="1"/>
    <row r="471" s="701" customFormat="1" ht="14.25" customHeight="1"/>
    <row r="472" s="701" customFormat="1" ht="14.25" customHeight="1"/>
    <row r="473" s="701" customFormat="1" ht="14.25" customHeight="1"/>
    <row r="474" s="701" customFormat="1" ht="14.25" customHeight="1"/>
    <row r="475" s="701" customFormat="1" ht="14.25" customHeight="1"/>
    <row r="476" s="701" customFormat="1" ht="14.25" customHeight="1"/>
    <row r="477" s="701" customFormat="1" ht="14.25" customHeight="1"/>
    <row r="478" s="701" customFormat="1" ht="14.25" customHeight="1"/>
    <row r="479" s="701" customFormat="1" ht="14.25" customHeight="1"/>
    <row r="480" s="701" customFormat="1" ht="14.25" customHeight="1"/>
    <row r="481" s="701" customFormat="1" ht="14.25" customHeight="1"/>
    <row r="482" s="701" customFormat="1" ht="14.25" customHeight="1"/>
    <row r="483" s="701" customFormat="1" ht="14.25" customHeight="1"/>
    <row r="484" s="701" customFormat="1" ht="14.25" customHeight="1"/>
    <row r="485" s="701" customFormat="1" ht="14.25" customHeight="1"/>
    <row r="486" s="701" customFormat="1" ht="14.25" customHeight="1"/>
    <row r="487" s="701" customFormat="1" ht="14.25" customHeight="1"/>
    <row r="488" s="701" customFormat="1" ht="14.25" customHeight="1"/>
    <row r="489" s="701" customFormat="1" ht="14.25" customHeight="1"/>
    <row r="490" s="701" customFormat="1" ht="14.25" customHeight="1"/>
    <row r="491" s="701" customFormat="1" ht="14.25" customHeight="1"/>
    <row r="492" s="701" customFormat="1" ht="14.25" customHeight="1"/>
    <row r="493" s="701" customFormat="1" ht="14.25" customHeight="1"/>
    <row r="494" s="701" customFormat="1" ht="14.25" customHeight="1"/>
    <row r="495" s="701" customFormat="1" ht="14.25" customHeight="1"/>
    <row r="496" s="701" customFormat="1" ht="14.25" customHeight="1"/>
    <row r="497" s="701" customFormat="1" ht="14.25" customHeight="1"/>
    <row r="498" s="701" customFormat="1" ht="14.25" customHeight="1"/>
    <row r="499" s="701" customFormat="1" ht="14.25" customHeight="1"/>
    <row r="500" s="701" customFormat="1" ht="14.25" customHeight="1"/>
    <row r="501" s="701" customFormat="1" ht="14.25" customHeight="1"/>
    <row r="502" s="701" customFormat="1" ht="14.25" customHeight="1"/>
    <row r="503" s="701" customFormat="1" ht="14.25" customHeight="1"/>
    <row r="504" s="701" customFormat="1" ht="14.25" customHeight="1"/>
    <row r="505" s="701" customFormat="1" ht="14.25" customHeight="1"/>
    <row r="506" s="701" customFormat="1" ht="14.25" customHeight="1"/>
    <row r="507" s="701" customFormat="1" ht="14.25" customHeight="1"/>
    <row r="508" s="701" customFormat="1" ht="14.25" customHeight="1"/>
    <row r="509" s="701" customFormat="1" ht="14.25" customHeight="1"/>
    <row r="510" s="701" customFormat="1" ht="14.25" customHeight="1"/>
    <row r="511" s="701" customFormat="1" ht="14.25" customHeight="1"/>
    <row r="512" s="701" customFormat="1" ht="14.25" customHeight="1"/>
    <row r="513" s="701" customFormat="1" ht="14.25" customHeight="1"/>
    <row r="514" s="701" customFormat="1" ht="14.25" customHeight="1"/>
    <row r="515" s="701" customFormat="1" ht="14.25" customHeight="1"/>
    <row r="516" s="701" customFormat="1" ht="14.25" customHeight="1"/>
    <row r="517" s="701" customFormat="1" ht="14.25" customHeight="1"/>
    <row r="518" s="701" customFormat="1" ht="14.25" customHeight="1"/>
    <row r="519" s="701" customFormat="1" ht="14.25" customHeight="1"/>
    <row r="520" s="701" customFormat="1" ht="14.25" customHeight="1"/>
    <row r="521" s="701" customFormat="1" ht="14.25" customHeight="1"/>
    <row r="522" s="701" customFormat="1" ht="14.25" customHeight="1"/>
    <row r="523" s="701" customFormat="1" ht="14.25" customHeight="1"/>
    <row r="524" s="701" customFormat="1" ht="14.25" customHeight="1"/>
    <row r="525" s="701" customFormat="1" ht="14.25" customHeight="1"/>
    <row r="526" s="701" customFormat="1" ht="14.25" customHeight="1"/>
    <row r="527" s="701" customFormat="1" ht="14.25" customHeight="1"/>
    <row r="528" s="701" customFormat="1" ht="14.25" customHeight="1"/>
    <row r="529" s="701" customFormat="1" ht="14.25" customHeight="1"/>
    <row r="530" s="701" customFormat="1" ht="14.25" customHeight="1"/>
    <row r="531" s="701" customFormat="1" ht="14.25" customHeight="1"/>
    <row r="532" s="701" customFormat="1" ht="14.25" customHeight="1"/>
    <row r="533" s="701" customFormat="1" ht="14.25" customHeight="1"/>
    <row r="534" s="701" customFormat="1" ht="14.25" customHeight="1"/>
    <row r="535" s="701" customFormat="1" ht="14.25" customHeight="1"/>
    <row r="536" s="701" customFormat="1" ht="14.25" customHeight="1"/>
    <row r="537" s="701" customFormat="1" ht="14.25" customHeight="1"/>
    <row r="538" s="701" customFormat="1" ht="14.25" customHeight="1"/>
    <row r="539" s="701" customFormat="1" ht="14.25" customHeight="1"/>
    <row r="540" s="701" customFormat="1" ht="14.25" customHeight="1"/>
    <row r="541" s="701" customFormat="1" ht="14.25" customHeight="1"/>
    <row r="542" s="701" customFormat="1" ht="14.25" customHeight="1"/>
    <row r="543" s="701" customFormat="1" ht="14.25" customHeight="1"/>
    <row r="544" s="701" customFormat="1" ht="14.25" customHeight="1"/>
    <row r="545" s="701" customFormat="1" ht="14.25" customHeight="1"/>
    <row r="546" s="701" customFormat="1" ht="14.25" customHeight="1"/>
    <row r="547" s="701" customFormat="1" ht="14.25" customHeight="1"/>
    <row r="548" s="701" customFormat="1" ht="14.25" customHeight="1"/>
    <row r="549" s="701" customFormat="1" ht="14.25" customHeight="1"/>
    <row r="550" s="701" customFormat="1" ht="14.25" customHeight="1"/>
    <row r="551" s="701" customFormat="1" ht="14.25" customHeight="1"/>
    <row r="552" s="701" customFormat="1" ht="14.25" customHeight="1"/>
    <row r="553" s="701" customFormat="1" ht="14.25" customHeight="1"/>
    <row r="554" s="701" customFormat="1" ht="14.25" customHeight="1"/>
    <row r="555" s="701" customFormat="1" ht="14.25" customHeight="1"/>
    <row r="556" s="701" customFormat="1" ht="14.25" customHeight="1"/>
    <row r="557" s="701" customFormat="1" ht="14.25" customHeight="1"/>
    <row r="558" s="701" customFormat="1" ht="14.25" customHeight="1"/>
    <row r="559" s="701" customFormat="1" ht="14.25" customHeight="1"/>
    <row r="560" s="701" customFormat="1" ht="14.25" customHeight="1"/>
    <row r="561" s="701" customFormat="1" ht="14.25" customHeight="1"/>
    <row r="562" s="701" customFormat="1" ht="14.25" customHeight="1"/>
    <row r="563" s="701" customFormat="1" ht="14.25" customHeight="1"/>
    <row r="564" s="701" customFormat="1" ht="14.25" customHeight="1"/>
    <row r="565" s="701" customFormat="1" ht="14.25" customHeight="1"/>
    <row r="566" s="701" customFormat="1" ht="14.25" customHeight="1"/>
    <row r="567" s="701" customFormat="1" ht="14.25" customHeight="1"/>
    <row r="568" s="701" customFormat="1" ht="14.25" customHeight="1"/>
    <row r="569" s="701" customFormat="1" ht="14.25" customHeight="1"/>
    <row r="570" s="701" customFormat="1" ht="14.25" customHeight="1"/>
    <row r="571" s="701" customFormat="1" ht="14.25" customHeight="1"/>
    <row r="572" s="701" customFormat="1" ht="14.25" customHeight="1"/>
    <row r="573" s="701" customFormat="1" ht="14.25" customHeight="1"/>
    <row r="574" s="701" customFormat="1" ht="14.25" customHeight="1"/>
    <row r="575" s="701" customFormat="1" ht="14.25" customHeight="1"/>
    <row r="576" s="701" customFormat="1" ht="14.25" customHeight="1"/>
    <row r="577" s="701" customFormat="1" ht="14.25" customHeight="1"/>
    <row r="578" s="701" customFormat="1" ht="14.25" customHeight="1"/>
    <row r="579" s="701" customFormat="1" ht="14.25" customHeight="1"/>
    <row r="580" s="701" customFormat="1" ht="14.25" customHeight="1"/>
    <row r="581" s="701" customFormat="1" ht="14.25" customHeight="1"/>
    <row r="582" s="701" customFormat="1" ht="14.25" customHeight="1"/>
    <row r="583" s="701" customFormat="1" ht="14.25" customHeight="1"/>
    <row r="584" s="701" customFormat="1" ht="14.25" customHeight="1"/>
    <row r="585" s="701" customFormat="1" ht="14.25" customHeight="1"/>
    <row r="586" s="701" customFormat="1" ht="14.25" customHeight="1"/>
    <row r="587" s="701" customFormat="1" ht="14.25" customHeight="1"/>
    <row r="588" s="701" customFormat="1" ht="14.25" customHeight="1"/>
    <row r="589" s="701" customFormat="1" ht="14.25" customHeight="1"/>
    <row r="590" s="701" customFormat="1" ht="14.25" customHeight="1"/>
    <row r="591" s="701" customFormat="1" ht="14.25" customHeight="1"/>
    <row r="592" s="701" customFormat="1" ht="14.25" customHeight="1"/>
    <row r="593" s="701" customFormat="1" ht="14.25" customHeight="1"/>
    <row r="594" s="701" customFormat="1" ht="14.25" customHeight="1"/>
    <row r="595" s="701" customFormat="1" ht="14.25" customHeight="1"/>
    <row r="596" s="701" customFormat="1" ht="14.25" customHeight="1"/>
    <row r="597" s="701" customFormat="1" ht="14.25" customHeight="1"/>
    <row r="598" s="701" customFormat="1" ht="14.25" customHeight="1"/>
    <row r="599" s="701" customFormat="1" ht="14.25" customHeight="1"/>
    <row r="600" s="701" customFormat="1" ht="14.25" customHeight="1"/>
    <row r="601" s="701" customFormat="1" ht="14.25" customHeight="1"/>
    <row r="602" s="701" customFormat="1" ht="14.25" customHeight="1"/>
    <row r="603" s="701" customFormat="1" ht="14.25" customHeight="1"/>
    <row r="604" s="701" customFormat="1" ht="14.25" customHeight="1"/>
    <row r="605" s="701" customFormat="1" ht="14.25" customHeight="1"/>
    <row r="606" s="701" customFormat="1" ht="14.25" customHeight="1"/>
    <row r="607" s="701" customFormat="1" ht="14.25" customHeight="1"/>
    <row r="608" s="701" customFormat="1" ht="14.25" customHeight="1"/>
    <row r="609" s="701" customFormat="1" ht="14.25" customHeight="1"/>
    <row r="610" s="701" customFormat="1" ht="14.25" customHeight="1"/>
    <row r="611" s="701" customFormat="1" ht="14.25" customHeight="1"/>
    <row r="612" s="701" customFormat="1" ht="14.25" customHeight="1"/>
    <row r="613" s="701" customFormat="1" ht="14.25" customHeight="1"/>
    <row r="614" s="701" customFormat="1" ht="14.25" customHeight="1"/>
    <row r="615" s="701" customFormat="1" ht="14.25" customHeight="1"/>
    <row r="616" s="701" customFormat="1" ht="14.25" customHeight="1"/>
    <row r="617" s="701" customFormat="1" ht="14.25" customHeight="1"/>
    <row r="618" s="701" customFormat="1" ht="14.25" customHeight="1"/>
    <row r="619" s="701" customFormat="1" ht="14.25" customHeight="1"/>
    <row r="620" s="701" customFormat="1" ht="14.25" customHeight="1"/>
    <row r="621" s="701" customFormat="1" ht="14.25" customHeight="1"/>
    <row r="622" s="701" customFormat="1" ht="14.25" customHeight="1"/>
    <row r="623" s="701" customFormat="1" ht="14.25" customHeight="1"/>
    <row r="624" s="701" customFormat="1" ht="14.25" customHeight="1"/>
    <row r="625" s="701" customFormat="1" ht="14.25" customHeight="1"/>
    <row r="626" s="701" customFormat="1" ht="14.25" customHeight="1"/>
    <row r="627" s="701" customFormat="1" ht="14.25" customHeight="1"/>
    <row r="628" s="701" customFormat="1" ht="14.25" customHeight="1"/>
    <row r="629" s="701" customFormat="1" ht="14.25" customHeight="1"/>
    <row r="630" s="701" customFormat="1" ht="14.25" customHeight="1"/>
    <row r="631" s="701" customFormat="1" ht="14.25" customHeight="1"/>
    <row r="632" s="701" customFormat="1" ht="14.25" customHeight="1"/>
    <row r="633" s="701" customFormat="1" ht="14.25" customHeight="1"/>
    <row r="634" s="701" customFormat="1" ht="14.25" customHeight="1"/>
    <row r="635" s="701" customFormat="1" ht="14.25" customHeight="1"/>
    <row r="636" s="701" customFormat="1" ht="14.25" customHeight="1"/>
    <row r="637" s="701" customFormat="1" ht="14.25" customHeight="1"/>
    <row r="638" s="701" customFormat="1" ht="14.25" customHeight="1"/>
    <row r="639" s="701" customFormat="1" ht="14.25" customHeight="1"/>
    <row r="640" s="701" customFormat="1" ht="14.25" customHeight="1"/>
    <row r="641" s="701" customFormat="1" ht="14.25" customHeight="1"/>
    <row r="642" s="701" customFormat="1" ht="14.25" customHeight="1"/>
    <row r="643" s="701" customFormat="1" ht="14.25" customHeight="1"/>
    <row r="644" s="701" customFormat="1" ht="14.25" customHeight="1"/>
    <row r="645" s="701" customFormat="1" ht="14.25" customHeight="1"/>
    <row r="646" s="701" customFormat="1" ht="14.25" customHeight="1"/>
    <row r="647" s="701" customFormat="1" ht="14.25" customHeight="1"/>
    <row r="648" s="701" customFormat="1" ht="14.25" customHeight="1"/>
    <row r="649" s="701" customFormat="1" ht="14.25" customHeight="1"/>
    <row r="650" s="701" customFormat="1" ht="14.25" customHeight="1"/>
    <row r="651" s="701" customFormat="1" ht="14.25" customHeight="1"/>
    <row r="652" s="701" customFormat="1" ht="14.25" customHeight="1"/>
    <row r="653" s="701" customFormat="1" ht="14.25" customHeight="1"/>
    <row r="654" s="701" customFormat="1" ht="14.25" customHeight="1"/>
    <row r="655" s="701" customFormat="1" ht="14.25" customHeight="1"/>
    <row r="656" s="701" customFormat="1" ht="14.25" customHeight="1"/>
    <row r="657" s="701" customFormat="1" ht="14.25" customHeight="1"/>
    <row r="658" s="701" customFormat="1" ht="14.25" customHeight="1"/>
    <row r="659" s="701" customFormat="1" ht="14.25" customHeight="1"/>
    <row r="660" s="701" customFormat="1" ht="14.25" customHeight="1"/>
    <row r="661" s="701" customFormat="1" ht="14.25" customHeight="1"/>
    <row r="662" s="701" customFormat="1" ht="14.25" customHeight="1"/>
    <row r="663" s="701" customFormat="1" ht="14.25" customHeight="1"/>
    <row r="664" s="701" customFormat="1" ht="14.25" customHeight="1"/>
    <row r="665" s="701" customFormat="1" ht="14.25" customHeight="1"/>
    <row r="666" s="701" customFormat="1" ht="14.25" customHeight="1"/>
    <row r="667" s="701" customFormat="1" ht="14.25" customHeight="1"/>
    <row r="668" s="701" customFormat="1" ht="14.25" customHeight="1"/>
    <row r="669" s="701" customFormat="1" ht="14.25" customHeight="1"/>
    <row r="670" s="701" customFormat="1" ht="14.25" customHeight="1"/>
    <row r="671" s="701" customFormat="1" ht="14.25" customHeight="1"/>
    <row r="672" s="701" customFormat="1" ht="14.25" customHeight="1"/>
    <row r="673" s="701" customFormat="1" ht="14.25" customHeight="1"/>
    <row r="674" s="701" customFormat="1" ht="14.25" customHeight="1"/>
    <row r="675" s="701" customFormat="1" ht="14.25" customHeight="1"/>
    <row r="676" s="701" customFormat="1" ht="14.25" customHeight="1"/>
    <row r="677" s="701" customFormat="1" ht="14.25" customHeight="1"/>
    <row r="678" s="701" customFormat="1" ht="14.25" customHeight="1"/>
    <row r="679" s="701" customFormat="1" ht="14.25" customHeight="1"/>
    <row r="680" s="701" customFormat="1" ht="14.25" customHeight="1"/>
    <row r="681" s="701" customFormat="1" ht="14.25" customHeight="1"/>
    <row r="682" s="701" customFormat="1" ht="14.25" customHeight="1"/>
    <row r="683" s="701" customFormat="1" ht="14.25" customHeight="1"/>
    <row r="684" s="701" customFormat="1" ht="14.25" customHeight="1"/>
    <row r="685" s="701" customFormat="1" ht="14.25" customHeight="1"/>
    <row r="686" s="701" customFormat="1" ht="14.25" customHeight="1"/>
    <row r="687" s="701" customFormat="1" ht="14.25" customHeight="1"/>
    <row r="688" s="701" customFormat="1" ht="14.25" customHeight="1"/>
    <row r="689" s="701" customFormat="1" ht="14.25" customHeight="1"/>
    <row r="690" s="701" customFormat="1" ht="14.25" customHeight="1"/>
    <row r="691" s="701" customFormat="1" ht="14.25" customHeight="1"/>
    <row r="692" s="701" customFormat="1" ht="14.25" customHeight="1"/>
    <row r="693" s="701" customFormat="1" ht="14.25" customHeight="1"/>
    <row r="694" s="701" customFormat="1" ht="14.25" customHeight="1"/>
    <row r="695" s="701" customFormat="1" ht="14.25" customHeight="1"/>
    <row r="696" s="701" customFormat="1" ht="14.25" customHeight="1"/>
    <row r="697" s="701" customFormat="1" ht="14.25" customHeight="1"/>
    <row r="698" s="701" customFormat="1" ht="14.25" customHeight="1"/>
    <row r="699" s="701" customFormat="1" ht="14.25" customHeight="1"/>
    <row r="700" s="701" customFormat="1" ht="14.25" customHeight="1"/>
    <row r="701" s="701" customFormat="1" ht="14.25" customHeight="1"/>
    <row r="702" s="701" customFormat="1" ht="14.25" customHeight="1"/>
    <row r="703" s="701" customFormat="1" ht="14.25" customHeight="1"/>
    <row r="704" s="701" customFormat="1" ht="14.25" customHeight="1"/>
    <row r="705" s="701" customFormat="1" ht="14.25" customHeight="1"/>
    <row r="706" s="701" customFormat="1" ht="14.25" customHeight="1"/>
    <row r="707" s="701" customFormat="1" ht="14.25" customHeight="1"/>
    <row r="708" s="701" customFormat="1" ht="14.25" customHeight="1"/>
    <row r="709" s="701" customFormat="1" ht="14.25" customHeight="1"/>
    <row r="710" s="701" customFormat="1" ht="14.25" customHeight="1"/>
    <row r="711" s="701" customFormat="1" ht="14.25" customHeight="1"/>
    <row r="712" s="701" customFormat="1" ht="14.25" customHeight="1"/>
    <row r="713" s="701" customFormat="1" ht="14.25" customHeight="1"/>
    <row r="714" s="701" customFormat="1" ht="14.25" customHeight="1"/>
    <row r="715" s="701" customFormat="1" ht="14.25" customHeight="1"/>
    <row r="716" s="701" customFormat="1" ht="14.25" customHeight="1"/>
    <row r="717" s="701" customFormat="1" ht="14.25" customHeight="1"/>
    <row r="718" s="701" customFormat="1" ht="14.25" customHeight="1"/>
    <row r="719" s="701" customFormat="1" ht="14.25" customHeight="1"/>
    <row r="720" s="701" customFormat="1" ht="14.25" customHeight="1"/>
    <row r="721" s="701" customFormat="1" ht="14.25" customHeight="1"/>
    <row r="722" s="701" customFormat="1" ht="14.25" customHeight="1"/>
    <row r="723" s="701" customFormat="1" ht="14.25" customHeight="1"/>
    <row r="724" s="701" customFormat="1" ht="14.25" customHeight="1"/>
    <row r="725" s="701" customFormat="1" ht="14.25" customHeight="1"/>
    <row r="726" s="701" customFormat="1" ht="14.25" customHeight="1"/>
    <row r="727" s="701" customFormat="1" ht="14.25" customHeight="1"/>
    <row r="728" s="701" customFormat="1" ht="14.25" customHeight="1"/>
    <row r="729" s="701" customFormat="1" ht="14.25" customHeight="1"/>
    <row r="730" s="701" customFormat="1" ht="14.25" customHeight="1"/>
    <row r="731" s="701" customFormat="1" ht="14.25" customHeight="1"/>
    <row r="732" s="701" customFormat="1" ht="14.25" customHeight="1"/>
    <row r="733" s="701" customFormat="1" ht="14.25" customHeight="1"/>
    <row r="734" s="701" customFormat="1" ht="14.25" customHeight="1"/>
    <row r="735" s="701" customFormat="1" ht="14.25" customHeight="1"/>
    <row r="736" s="701" customFormat="1" ht="14.25" customHeight="1"/>
    <row r="737" s="701" customFormat="1" ht="14.25" customHeight="1"/>
    <row r="738" s="701" customFormat="1" ht="14.25" customHeight="1"/>
    <row r="739" s="701" customFormat="1" ht="14.25" customHeight="1"/>
    <row r="740" s="701" customFormat="1" ht="14.25" customHeight="1"/>
    <row r="741" s="701" customFormat="1" ht="14.25" customHeight="1"/>
    <row r="742" s="701" customFormat="1" ht="14.25" customHeight="1"/>
    <row r="743" s="701" customFormat="1" ht="14.25" customHeight="1"/>
    <row r="744" s="701" customFormat="1" ht="14.25" customHeight="1"/>
    <row r="745" s="701" customFormat="1" ht="14.25" customHeight="1"/>
    <row r="746" s="701" customFormat="1" ht="14.25" customHeight="1"/>
    <row r="747" s="701" customFormat="1" ht="14.25" customHeight="1"/>
    <row r="748" s="701" customFormat="1" ht="14.25" customHeight="1"/>
    <row r="749" s="701" customFormat="1" ht="14.25" customHeight="1"/>
    <row r="750" s="701" customFormat="1" ht="14.25" customHeight="1"/>
    <row r="751" s="701" customFormat="1" ht="14.25" customHeight="1"/>
    <row r="752" s="701" customFormat="1" ht="14.25" customHeight="1"/>
    <row r="753" s="701" customFormat="1" ht="14.25" customHeight="1"/>
    <row r="754" s="701" customFormat="1" ht="14.25" customHeight="1"/>
    <row r="755" s="701" customFormat="1" ht="14.25" customHeight="1"/>
    <row r="756" s="701" customFormat="1" ht="14.25" customHeight="1"/>
    <row r="757" s="701" customFormat="1" ht="14.25" customHeight="1"/>
    <row r="758" s="701" customFormat="1" ht="14.25" customHeight="1"/>
    <row r="759" s="701" customFormat="1" ht="14.25" customHeight="1"/>
    <row r="760" s="701" customFormat="1" ht="14.25" customHeight="1"/>
    <row r="761" s="701" customFormat="1" ht="14.25" customHeight="1"/>
    <row r="762" s="701" customFormat="1" ht="14.25" customHeight="1"/>
    <row r="763" s="701" customFormat="1" ht="14.25" customHeight="1"/>
    <row r="764" s="701" customFormat="1" ht="14.25" customHeight="1"/>
    <row r="765" s="701" customFormat="1" ht="14.25" customHeight="1"/>
    <row r="766" s="701" customFormat="1" ht="14.25" customHeight="1"/>
    <row r="767" s="701" customFormat="1" ht="14.25" customHeight="1"/>
    <row r="768" s="701" customFormat="1" ht="14.25" customHeight="1"/>
    <row r="769" s="701" customFormat="1" ht="14.25" customHeight="1"/>
    <row r="770" s="701" customFormat="1" ht="14.25" customHeight="1"/>
    <row r="771" s="701" customFormat="1" ht="14.25" customHeight="1"/>
    <row r="772" s="701" customFormat="1" ht="14.25" customHeight="1"/>
    <row r="773" s="701" customFormat="1" ht="14.25" customHeight="1"/>
    <row r="774" s="701" customFormat="1" ht="14.25" customHeight="1"/>
    <row r="775" s="701" customFormat="1" ht="14.25" customHeight="1"/>
    <row r="776" s="701" customFormat="1" ht="14.25" customHeight="1"/>
    <row r="777" s="701" customFormat="1" ht="14.25" customHeight="1"/>
    <row r="778" s="701" customFormat="1" ht="14.25" customHeight="1"/>
    <row r="779" s="701" customFormat="1" ht="14.25" customHeight="1"/>
    <row r="780" s="701" customFormat="1" ht="14.25" customHeight="1"/>
    <row r="781" s="701" customFormat="1" ht="14.25" customHeight="1"/>
    <row r="782" s="701" customFormat="1" ht="14.25" customHeight="1"/>
    <row r="783" s="701" customFormat="1" ht="14.25" customHeight="1"/>
    <row r="784" s="701" customFormat="1" ht="14.25" customHeight="1"/>
    <row r="785" s="701" customFormat="1" ht="14.25" customHeight="1"/>
    <row r="786" s="701" customFormat="1" ht="14.25" customHeight="1"/>
    <row r="787" s="701" customFormat="1" ht="14.25" customHeight="1"/>
    <row r="788" s="701" customFormat="1" ht="14.25" customHeight="1"/>
    <row r="789" s="701" customFormat="1" ht="14.25" customHeight="1"/>
    <row r="790" s="701" customFormat="1" ht="14.25" customHeight="1"/>
    <row r="791" s="701" customFormat="1" ht="14.25" customHeight="1"/>
    <row r="792" s="701" customFormat="1" ht="14.25" customHeight="1"/>
    <row r="793" s="701" customFormat="1" ht="14.25" customHeight="1"/>
    <row r="794" s="701" customFormat="1" ht="14.25" customHeight="1"/>
    <row r="795" s="701" customFormat="1" ht="14.25" customHeight="1"/>
    <row r="796" s="701" customFormat="1" ht="14.25" customHeight="1"/>
    <row r="797" s="701" customFormat="1" ht="14.25" customHeight="1"/>
    <row r="798" s="701" customFormat="1" ht="14.25" customHeight="1"/>
    <row r="799" s="701" customFormat="1" ht="14.25" customHeight="1"/>
    <row r="800" s="701" customFormat="1" ht="14.25" customHeight="1"/>
    <row r="801" s="701" customFormat="1" ht="14.25" customHeight="1"/>
    <row r="802" s="701" customFormat="1" ht="14.25" customHeight="1"/>
    <row r="803" s="701" customFormat="1" ht="14.25" customHeight="1"/>
    <row r="804" s="701" customFormat="1" ht="14.25" customHeight="1"/>
    <row r="805" s="701" customFormat="1" ht="14.25" customHeight="1"/>
    <row r="806" s="701" customFormat="1" ht="14.25" customHeight="1"/>
    <row r="807" s="701" customFormat="1" ht="14.25" customHeight="1"/>
    <row r="808" s="701" customFormat="1" ht="14.25" customHeight="1"/>
    <row r="809" s="701" customFormat="1" ht="14.25" customHeight="1"/>
    <row r="810" s="701" customFormat="1" ht="14.25" customHeight="1"/>
    <row r="811" s="701" customFormat="1" ht="14.25" customHeight="1"/>
    <row r="812" s="701" customFormat="1" ht="14.25" customHeight="1"/>
    <row r="813" s="701" customFormat="1" ht="14.25" customHeight="1"/>
    <row r="814" s="701" customFormat="1" ht="14.25" customHeight="1"/>
    <row r="815" s="701" customFormat="1" ht="14.25" customHeight="1"/>
    <row r="816" s="701" customFormat="1" ht="14.25" customHeight="1"/>
    <row r="817" s="701" customFormat="1" ht="14.25" customHeight="1"/>
    <row r="818" s="701" customFormat="1" ht="14.25" customHeight="1"/>
    <row r="819" s="701" customFormat="1" ht="14.25" customHeight="1"/>
    <row r="820" s="701" customFormat="1" ht="14.25" customHeight="1"/>
    <row r="821" s="701" customFormat="1" ht="14.25" customHeight="1"/>
    <row r="822" s="701" customFormat="1" ht="14.25" customHeight="1"/>
    <row r="823" s="701" customFormat="1" ht="14.25" customHeight="1"/>
    <row r="824" s="701" customFormat="1" ht="14.25" customHeight="1"/>
    <row r="825" s="701" customFormat="1" ht="14.25" customHeight="1"/>
    <row r="826" s="701" customFormat="1" ht="14.25" customHeight="1"/>
    <row r="827" s="701" customFormat="1" ht="14.25" customHeight="1"/>
    <row r="828" s="701" customFormat="1" ht="14.25" customHeight="1"/>
    <row r="829" s="701" customFormat="1" ht="14.25" customHeight="1"/>
    <row r="830" s="701" customFormat="1" ht="14.25" customHeight="1"/>
    <row r="831" s="701" customFormat="1" ht="14.25" customHeight="1"/>
    <row r="832" s="701" customFormat="1" ht="14.25" customHeight="1"/>
    <row r="833" s="701" customFormat="1" ht="14.25" customHeight="1"/>
    <row r="834" s="701" customFormat="1" ht="14.25" customHeight="1"/>
    <row r="835" s="701" customFormat="1" ht="14.25" customHeight="1"/>
    <row r="836" s="701" customFormat="1" ht="14.25" customHeight="1"/>
    <row r="837" s="701" customFormat="1" ht="14.25" customHeight="1"/>
    <row r="838" s="701" customFormat="1" ht="14.25" customHeight="1"/>
    <row r="839" s="701" customFormat="1" ht="14.25" customHeight="1"/>
    <row r="840" s="701" customFormat="1" ht="14.25" customHeight="1"/>
    <row r="841" s="701" customFormat="1" ht="14.25" customHeight="1"/>
    <row r="842" s="701" customFormat="1" ht="14.25" customHeight="1"/>
    <row r="843" s="701" customFormat="1" ht="14.25" customHeight="1"/>
    <row r="844" s="701" customFormat="1" ht="14.25" customHeight="1"/>
    <row r="845" s="701" customFormat="1" ht="14.25" customHeight="1"/>
    <row r="846" s="701" customFormat="1" ht="14.25" customHeight="1"/>
    <row r="847" s="701" customFormat="1" ht="14.25" customHeight="1"/>
    <row r="848" s="701" customFormat="1" ht="14.25" customHeight="1"/>
    <row r="849" s="701" customFormat="1" ht="14.25" customHeight="1"/>
    <row r="850" s="701" customFormat="1" ht="14.25" customHeight="1"/>
    <row r="851" s="701" customFormat="1" ht="14.25" customHeight="1"/>
    <row r="852" s="701" customFormat="1" ht="14.25" customHeight="1"/>
    <row r="853" s="701" customFormat="1" ht="14.25" customHeight="1"/>
    <row r="854" s="701" customFormat="1" ht="14.25" customHeight="1"/>
    <row r="855" s="701" customFormat="1" ht="14.25" customHeight="1"/>
    <row r="856" s="701" customFormat="1" ht="14.25" customHeight="1"/>
    <row r="857" s="701" customFormat="1" ht="14.25" customHeight="1"/>
    <row r="858" s="701" customFormat="1" ht="14.25" customHeight="1"/>
    <row r="859" s="701" customFormat="1" ht="14.25" customHeight="1"/>
    <row r="860" s="701" customFormat="1" ht="14.25" customHeight="1"/>
    <row r="861" s="701" customFormat="1" ht="14.25" customHeight="1"/>
    <row r="862" s="701" customFormat="1" ht="14.25" customHeight="1"/>
    <row r="863" s="701" customFormat="1" ht="14.25" customHeight="1"/>
    <row r="864" s="701" customFormat="1" ht="14.25" customHeight="1"/>
    <row r="865" s="701" customFormat="1" ht="14.25" customHeight="1"/>
    <row r="866" s="701" customFormat="1" ht="14.25" customHeight="1"/>
    <row r="867" s="701" customFormat="1" ht="14.25" customHeight="1"/>
    <row r="868" s="701" customFormat="1" ht="14.25" customHeight="1"/>
    <row r="869" s="701" customFormat="1" ht="14.25" customHeight="1"/>
    <row r="870" s="701" customFormat="1" ht="14.25" customHeight="1"/>
    <row r="871" s="701" customFormat="1" ht="14.25" customHeight="1"/>
    <row r="872" s="701" customFormat="1" ht="14.25" customHeight="1"/>
    <row r="873" s="701" customFormat="1" ht="14.25" customHeight="1"/>
    <row r="874" s="701" customFormat="1" ht="14.25" customHeight="1"/>
    <row r="875" s="701" customFormat="1" ht="14.25" customHeight="1"/>
    <row r="876" s="701" customFormat="1" ht="14.25" customHeight="1"/>
    <row r="877" s="701" customFormat="1" ht="14.25" customHeight="1"/>
    <row r="878" s="701" customFormat="1" ht="14.25" customHeight="1"/>
    <row r="879" s="701" customFormat="1" ht="14.25" customHeight="1"/>
    <row r="880" s="701" customFormat="1" ht="14.25" customHeight="1"/>
    <row r="881" s="701" customFormat="1" ht="14.25" customHeight="1"/>
    <row r="882" s="701" customFormat="1" ht="14.25" customHeight="1"/>
    <row r="883" s="701" customFormat="1" ht="14.25" customHeight="1"/>
    <row r="884" s="701" customFormat="1" ht="14.25" customHeight="1"/>
    <row r="885" s="701" customFormat="1" ht="14.25" customHeight="1"/>
    <row r="886" s="701" customFormat="1" ht="14.25" customHeight="1"/>
    <row r="887" s="701" customFormat="1" ht="14.25" customHeight="1"/>
    <row r="888" s="701" customFormat="1" ht="14.25" customHeight="1"/>
    <row r="889" s="701" customFormat="1" ht="14.25" customHeight="1"/>
    <row r="890" s="701" customFormat="1" ht="14.25" customHeight="1"/>
    <row r="891" s="701" customFormat="1" ht="14.25" customHeight="1"/>
    <row r="892" s="701" customFormat="1" ht="14.25" customHeight="1"/>
    <row r="893" s="701" customFormat="1" ht="14.25" customHeight="1"/>
    <row r="894" s="701" customFormat="1" ht="14.25" customHeight="1"/>
    <row r="895" s="701" customFormat="1" ht="14.25" customHeight="1"/>
    <row r="896" s="701" customFormat="1" ht="14.25" customHeight="1"/>
    <row r="897" s="701" customFormat="1" ht="14.25" customHeight="1"/>
    <row r="898" s="701" customFormat="1" ht="14.25" customHeight="1"/>
    <row r="899" s="701" customFormat="1" ht="14.25" customHeight="1"/>
    <row r="900" s="701" customFormat="1" ht="14.25" customHeight="1"/>
    <row r="901" s="701" customFormat="1" ht="14.25" customHeight="1"/>
    <row r="902" s="701" customFormat="1" ht="14.25" customHeight="1"/>
    <row r="903" s="701" customFormat="1" ht="14.25" customHeight="1"/>
    <row r="904" s="701" customFormat="1" ht="14.25" customHeight="1"/>
    <row r="905" s="701" customFormat="1" ht="14.25" customHeight="1"/>
    <row r="906" s="701" customFormat="1" ht="14.25" customHeight="1"/>
    <row r="907" s="701" customFormat="1" ht="14.25" customHeight="1"/>
    <row r="908" s="701" customFormat="1" ht="14.25" customHeight="1"/>
    <row r="909" s="701" customFormat="1" ht="14.25" customHeight="1"/>
    <row r="910" s="701" customFormat="1" ht="14.25" customHeight="1"/>
    <row r="911" s="701" customFormat="1" ht="14.25" customHeight="1"/>
    <row r="912" s="701" customFormat="1" ht="14.25" customHeight="1"/>
    <row r="913" s="701" customFormat="1" ht="14.25" customHeight="1"/>
    <row r="914" s="701" customFormat="1" ht="14.25" customHeight="1"/>
    <row r="915" s="701" customFormat="1" ht="14.25" customHeight="1"/>
    <row r="916" s="701" customFormat="1" ht="14.25" customHeight="1"/>
    <row r="917" s="701" customFormat="1" ht="14.25" customHeight="1"/>
    <row r="918" s="701" customFormat="1" ht="14.25" customHeight="1"/>
    <row r="919" s="701" customFormat="1" ht="14.25" customHeight="1"/>
    <row r="920" s="701" customFormat="1" ht="14.25" customHeight="1"/>
    <row r="921" s="701" customFormat="1" ht="14.25" customHeight="1"/>
    <row r="922" s="701" customFormat="1" ht="14.25" customHeight="1"/>
    <row r="923" s="701" customFormat="1" ht="14.25" customHeight="1"/>
    <row r="924" s="701" customFormat="1" ht="14.25" customHeight="1"/>
    <row r="925" s="701" customFormat="1" ht="14.25" customHeight="1"/>
    <row r="926" s="701" customFormat="1" ht="14.25" customHeight="1"/>
    <row r="927" s="701" customFormat="1" ht="14.25" customHeight="1"/>
    <row r="928" s="701" customFormat="1" ht="14.25" customHeight="1"/>
    <row r="929" s="701" customFormat="1" ht="14.25" customHeight="1"/>
    <row r="930" s="701" customFormat="1" ht="14.25" customHeight="1"/>
    <row r="931" s="701" customFormat="1" ht="14.25" customHeight="1"/>
    <row r="932" s="701" customFormat="1" ht="14.25" customHeight="1"/>
    <row r="933" s="701" customFormat="1" ht="14.25" customHeight="1"/>
    <row r="934" s="701" customFormat="1" ht="14.25" customHeight="1"/>
    <row r="935" s="701" customFormat="1" ht="14.25" customHeight="1"/>
    <row r="936" s="701" customFormat="1" ht="14.25" customHeight="1"/>
    <row r="937" s="701" customFormat="1" ht="14.25" customHeight="1"/>
    <row r="938" s="701" customFormat="1" ht="14.25" customHeight="1"/>
    <row r="939" s="701" customFormat="1" ht="14.25" customHeight="1"/>
    <row r="940" s="701" customFormat="1" ht="14.25" customHeight="1"/>
    <row r="941" s="701" customFormat="1" ht="14.25" customHeight="1"/>
    <row r="942" s="701" customFormat="1" ht="14.25" customHeight="1"/>
    <row r="943" s="701" customFormat="1" ht="14.25" customHeight="1"/>
    <row r="944" s="701" customFormat="1" ht="14.25" customHeight="1"/>
    <row r="945" s="701" customFormat="1" ht="14.25" customHeight="1"/>
    <row r="946" s="701" customFormat="1" ht="14.25" customHeight="1"/>
    <row r="947" s="701" customFormat="1" ht="14.25" customHeight="1"/>
    <row r="948" s="701" customFormat="1" ht="14.25" customHeight="1"/>
    <row r="949" s="701" customFormat="1" ht="14.25" customHeight="1"/>
    <row r="950" s="701" customFormat="1" ht="14.25" customHeight="1"/>
    <row r="951" s="701" customFormat="1" ht="14.25" customHeight="1"/>
    <row r="952" s="701" customFormat="1" ht="14.25" customHeight="1"/>
    <row r="953" s="701" customFormat="1" ht="14.25" customHeight="1"/>
    <row r="954" s="701" customFormat="1" ht="14.25" customHeight="1"/>
    <row r="955" s="701" customFormat="1" ht="14.25" customHeight="1"/>
    <row r="956" s="701" customFormat="1" ht="14.25" customHeight="1"/>
    <row r="957" s="701" customFormat="1" ht="14.25" customHeight="1"/>
    <row r="958" s="701" customFormat="1" ht="14.25" customHeight="1"/>
    <row r="959" s="701" customFormat="1" ht="14.25" customHeight="1"/>
    <row r="960" s="701" customFormat="1" ht="14.25" customHeight="1"/>
    <row r="961" s="701" customFormat="1" ht="14.25" customHeight="1"/>
    <row r="962" s="701" customFormat="1" ht="14.25" customHeight="1"/>
    <row r="963" s="701" customFormat="1" ht="14.25" customHeight="1"/>
    <row r="964" s="701" customFormat="1" ht="14.25" customHeight="1"/>
    <row r="965" s="701" customFormat="1" ht="14.25" customHeight="1"/>
    <row r="966" s="701" customFormat="1" ht="14.25" customHeight="1"/>
    <row r="967" s="701" customFormat="1" ht="14.25" customHeight="1"/>
    <row r="968" s="701" customFormat="1" ht="14.25" customHeight="1"/>
    <row r="969" s="701" customFormat="1" ht="14.25" customHeight="1"/>
    <row r="970" s="701" customFormat="1" ht="14.25" customHeight="1"/>
    <row r="971" s="701" customFormat="1" ht="14.25" customHeight="1"/>
    <row r="972" s="701" customFormat="1" ht="14.25" customHeight="1"/>
    <row r="973" s="701" customFormat="1" ht="14.25" customHeight="1"/>
    <row r="974" s="701" customFormat="1" ht="14.25" customHeight="1"/>
    <row r="975" s="701" customFormat="1" ht="14.25" customHeight="1"/>
    <row r="976" s="701" customFormat="1" ht="14.25" customHeight="1"/>
    <row r="977" s="701" customFormat="1" ht="14.25" customHeight="1"/>
    <row r="978" s="701" customFormat="1" ht="14.25" customHeight="1"/>
    <row r="979" s="701" customFormat="1" ht="14.25" customHeight="1"/>
    <row r="980" s="701" customFormat="1" ht="14.25" customHeight="1"/>
    <row r="981" s="701" customFormat="1" ht="14.25" customHeight="1"/>
    <row r="982" s="701" customFormat="1" ht="14.25" customHeight="1"/>
    <row r="983" s="701" customFormat="1" ht="14.25" customHeight="1"/>
    <row r="984" s="701" customFormat="1" ht="14.25" customHeight="1"/>
    <row r="985" s="701" customFormat="1" ht="14.25" customHeight="1"/>
    <row r="986" s="701" customFormat="1" ht="14.25" customHeight="1"/>
    <row r="987" s="701" customFormat="1" ht="14.25" customHeight="1"/>
    <row r="988" s="701" customFormat="1" ht="14.25" customHeight="1"/>
    <row r="989" s="701" customFormat="1" ht="14.25" customHeight="1"/>
    <row r="990" s="701" customFormat="1" ht="14.25" customHeight="1"/>
    <row r="991" s="701" customFormat="1" ht="14.25" customHeight="1"/>
    <row r="992" s="701" customFormat="1" ht="14.25" customHeight="1"/>
    <row r="993" s="701" customFormat="1" ht="14.25" customHeight="1"/>
    <row r="994" s="701" customFormat="1" ht="14.25" customHeight="1"/>
    <row r="995" s="701" customFormat="1" ht="14.25" customHeight="1"/>
    <row r="996" s="701" customFormat="1" ht="14.25" customHeight="1"/>
    <row r="997" s="701" customFormat="1" ht="14.25" customHeight="1"/>
    <row r="998" s="701" customFormat="1" ht="14.25" customHeight="1"/>
  </sheetData>
  <mergeCells count="8">
    <mergeCell ref="B2:G2"/>
    <mergeCell ref="B3:G3"/>
    <mergeCell ref="B56:G56"/>
    <mergeCell ref="B89:F89"/>
    <mergeCell ref="B90:F90"/>
    <mergeCell ref="B33:G33"/>
    <mergeCell ref="B34:G34"/>
    <mergeCell ref="B55:G55"/>
  </mergeCells>
  <pageMargins left="0.7" right="0.7" top="0.75" bottom="0.75" header="0" footer="0"/>
  <pageSetup orientation="landscape" r:id="rId1"/>
  <ignoredErrors>
    <ignoredError sqref="H9" formula="1"/>
  </ignoredError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34163"/>
  </sheetPr>
  <dimension ref="B1:G1000"/>
  <sheetViews>
    <sheetView showGridLines="0" zoomScale="57" zoomScaleNormal="57" workbookViewId="0">
      <selection activeCell="Z14" sqref="Z14"/>
    </sheetView>
  </sheetViews>
  <sheetFormatPr defaultColWidth="12.625" defaultRowHeight="15" customHeight="1"/>
  <cols>
    <col min="1" max="26" width="8.625" style="114" customWidth="1"/>
    <col min="27" max="16384" width="12.625" style="114"/>
  </cols>
  <sheetData>
    <row r="1" spans="2:7" ht="14.25" customHeight="1"/>
    <row r="2" spans="2:7" ht="14.25" customHeight="1"/>
    <row r="3" spans="2:7" ht="14.25" customHeight="1"/>
    <row r="4" spans="2:7" ht="14.25" customHeight="1"/>
    <row r="5" spans="2:7" ht="14.25" customHeight="1">
      <c r="B5" s="117"/>
      <c r="C5" s="116"/>
      <c r="D5" s="116"/>
      <c r="E5" s="116"/>
      <c r="F5" s="116"/>
      <c r="G5" s="115"/>
    </row>
    <row r="6" spans="2:7" ht="14.25" customHeight="1">
      <c r="B6" s="115"/>
      <c r="C6" s="115"/>
      <c r="D6" s="115"/>
      <c r="E6" s="115"/>
      <c r="F6" s="115"/>
      <c r="G6" s="115"/>
    </row>
    <row r="7" spans="2:7" ht="14.25" customHeight="1">
      <c r="B7" s="117"/>
      <c r="C7" s="115"/>
      <c r="D7" s="115"/>
      <c r="E7" s="115"/>
      <c r="F7" s="115"/>
      <c r="G7" s="115"/>
    </row>
    <row r="8" spans="2:7" ht="14.25" customHeight="1">
      <c r="B8" s="115"/>
      <c r="C8" s="115"/>
      <c r="D8" s="115"/>
      <c r="E8" s="115"/>
      <c r="F8" s="115"/>
      <c r="G8" s="115"/>
    </row>
    <row r="9" spans="2:7" ht="14.25" customHeight="1">
      <c r="B9" s="117"/>
      <c r="C9" s="115"/>
      <c r="D9" s="115"/>
      <c r="E9" s="115"/>
      <c r="F9" s="116"/>
      <c r="G9" s="115"/>
    </row>
    <row r="10" spans="2:7" ht="14.25" customHeight="1">
      <c r="B10" s="115"/>
      <c r="C10" s="115"/>
      <c r="D10" s="115"/>
      <c r="E10" s="115"/>
      <c r="F10" s="115"/>
      <c r="G10" s="115"/>
    </row>
    <row r="11" spans="2:7" ht="14.25" customHeight="1">
      <c r="B11" s="115"/>
      <c r="C11" s="115"/>
      <c r="D11" s="115"/>
      <c r="E11" s="115"/>
      <c r="F11" s="115"/>
      <c r="G11" s="115"/>
    </row>
    <row r="12" spans="2:7" ht="14.25" customHeight="1">
      <c r="B12" s="115"/>
      <c r="C12" s="115"/>
      <c r="D12" s="115"/>
      <c r="E12" s="115"/>
      <c r="F12" s="115"/>
      <c r="G12" s="115"/>
    </row>
    <row r="13" spans="2:7" ht="14.25" customHeight="1">
      <c r="B13" s="115"/>
      <c r="C13" s="115"/>
      <c r="D13" s="115"/>
      <c r="E13" s="115"/>
      <c r="F13" s="115"/>
      <c r="G13" s="115"/>
    </row>
    <row r="14" spans="2:7" ht="14.25" customHeight="1">
      <c r="B14" s="115"/>
      <c r="C14" s="115"/>
      <c r="D14" s="115"/>
      <c r="E14" s="115"/>
      <c r="F14" s="115"/>
      <c r="G14" s="115"/>
    </row>
    <row r="15" spans="2:7" ht="14.25" customHeight="1">
      <c r="B15" s="115"/>
      <c r="C15" s="115"/>
      <c r="D15" s="115"/>
      <c r="E15" s="115"/>
      <c r="F15" s="115"/>
      <c r="G15" s="115"/>
    </row>
    <row r="16" spans="2:7" ht="14.25" customHeight="1">
      <c r="B16" s="115"/>
      <c r="C16" s="115"/>
      <c r="D16" s="115"/>
      <c r="E16" s="115"/>
      <c r="F16" s="115"/>
      <c r="G16" s="115"/>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1"/>
  </sheetPr>
  <dimension ref="B1:I1000"/>
  <sheetViews>
    <sheetView showGridLines="0" zoomScale="60" zoomScaleNormal="60" workbookViewId="0">
      <selection activeCell="N27" sqref="N27"/>
    </sheetView>
  </sheetViews>
  <sheetFormatPr defaultColWidth="12.625" defaultRowHeight="15" customHeight="1"/>
  <cols>
    <col min="1" max="3" width="8.625" style="114" customWidth="1"/>
    <col min="4" max="4" width="23.625" style="114" customWidth="1"/>
    <col min="5" max="5" width="56" style="114" customWidth="1"/>
    <col min="6" max="6" width="28.125" style="114" bestFit="1" customWidth="1"/>
    <col min="7" max="7" width="29" style="114" customWidth="1"/>
    <col min="8" max="8" width="55.875" style="114" customWidth="1"/>
    <col min="9" max="9" width="42" style="114" bestFit="1" customWidth="1"/>
    <col min="10" max="26" width="8.625" style="114" customWidth="1"/>
    <col min="27" max="16384" width="12.625" style="114"/>
  </cols>
  <sheetData>
    <row r="1" spans="2:9" ht="14.25" customHeight="1" thickBot="1"/>
    <row r="2" spans="2:9" ht="30">
      <c r="E2" s="652" t="s">
        <v>242</v>
      </c>
      <c r="F2" s="653"/>
      <c r="H2" s="652" t="s">
        <v>243</v>
      </c>
      <c r="I2" s="653"/>
    </row>
    <row r="3" spans="2:9" ht="25.5">
      <c r="E3" s="176" t="s">
        <v>76</v>
      </c>
      <c r="F3" s="177">
        <f ca="1">'DCF (Pro-forma)'!C111</f>
        <v>212960999556.30548</v>
      </c>
      <c r="H3" s="176" t="s">
        <v>76</v>
      </c>
      <c r="I3" s="177">
        <f>'DCF (CCF)'!C38</f>
        <v>310359294136.93713</v>
      </c>
    </row>
    <row r="4" spans="2:9" ht="25.5">
      <c r="B4" s="118"/>
      <c r="E4" s="178" t="str">
        <f>'DCF (Pro-forma)'!B112</f>
        <v>Share Price as of July 06, 2021</v>
      </c>
      <c r="F4" s="179">
        <f>'DCF (Pro-forma)'!C112</f>
        <v>217.9</v>
      </c>
      <c r="H4" s="178" t="str">
        <f>'DCF (CCF)'!B39</f>
        <v>Share Price as of July 06, 2021</v>
      </c>
      <c r="I4" s="179">
        <f>'DCF (CCF)'!C39</f>
        <v>217.9</v>
      </c>
    </row>
    <row r="5" spans="2:9" ht="34.5" thickBot="1">
      <c r="E5" s="180" t="s">
        <v>77</v>
      </c>
      <c r="F5" s="181">
        <f ca="1">'DCF (Pro-forma)'!C113</f>
        <v>252.2520103024012</v>
      </c>
      <c r="H5" s="180" t="s">
        <v>77</v>
      </c>
      <c r="I5" s="181">
        <f>'DCF (CCF)'!C40</f>
        <v>367.62015592144888</v>
      </c>
    </row>
    <row r="6" spans="2:9" ht="14.25" customHeight="1">
      <c r="B6" s="118"/>
    </row>
    <row r="7" spans="2:9" ht="14.25" customHeight="1"/>
    <row r="8" spans="2:9" ht="14.25" customHeight="1" thickBot="1">
      <c r="B8" s="118"/>
    </row>
    <row r="9" spans="2:9" ht="30">
      <c r="F9" s="654" t="s">
        <v>244</v>
      </c>
      <c r="G9" s="655"/>
      <c r="H9" s="656"/>
    </row>
    <row r="10" spans="2:9" ht="23.25">
      <c r="F10" s="182"/>
      <c r="G10" s="183" t="s">
        <v>93</v>
      </c>
      <c r="H10" s="184" t="s">
        <v>246</v>
      </c>
    </row>
    <row r="11" spans="2:9" ht="23.25">
      <c r="F11" s="187" t="s">
        <v>243</v>
      </c>
      <c r="G11" s="188">
        <v>0.25</v>
      </c>
      <c r="H11" s="189">
        <f>I5*G11</f>
        <v>91.905038980362221</v>
      </c>
    </row>
    <row r="12" spans="2:9" ht="23.25">
      <c r="F12" s="186" t="s">
        <v>242</v>
      </c>
      <c r="G12" s="185">
        <v>0.75</v>
      </c>
      <c r="H12" s="184">
        <f ca="1">F5*G12</f>
        <v>189.1890077268009</v>
      </c>
    </row>
    <row r="13" spans="2:9" ht="30">
      <c r="F13" s="646" t="s">
        <v>244</v>
      </c>
      <c r="G13" s="647"/>
      <c r="H13" s="562">
        <f ca="1">H11+H12</f>
        <v>281.0940467071631</v>
      </c>
    </row>
    <row r="14" spans="2:9" ht="30">
      <c r="F14" s="648" t="str">
        <f>H4</f>
        <v>Share Price as of July 06, 2021</v>
      </c>
      <c r="G14" s="649"/>
      <c r="H14" s="191">
        <f>I4</f>
        <v>217.9</v>
      </c>
    </row>
    <row r="15" spans="2:9" ht="36" thickBot="1">
      <c r="F15" s="650" t="s">
        <v>245</v>
      </c>
      <c r="G15" s="651"/>
      <c r="H15" s="190">
        <f ca="1">(H13-H14)/H14</f>
        <v>0.29001398213475493</v>
      </c>
    </row>
    <row r="16" spans="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F13:G13"/>
    <mergeCell ref="F14:G14"/>
    <mergeCell ref="F15:G15"/>
    <mergeCell ref="E2:F2"/>
    <mergeCell ref="H2:I2"/>
    <mergeCell ref="F9:H9"/>
  </mergeCells>
  <printOptions headings="1"/>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Page</vt:lpstr>
      <vt:lpstr>Balance Sheet</vt:lpstr>
      <vt:lpstr>Income Statement</vt:lpstr>
      <vt:lpstr>Cashflow Statement</vt:lpstr>
      <vt:lpstr>Relative Valuation</vt:lpstr>
      <vt:lpstr>EBV</vt:lpstr>
      <vt:lpstr>EMV</vt:lpstr>
      <vt:lpstr>Implied Cost of Debt</vt:lpstr>
      <vt:lpstr>Implied Cost of Equity (Gordon)</vt:lpstr>
      <vt:lpstr>Implied Cost of Equity (CAPM)</vt:lpstr>
      <vt:lpstr>WACC</vt:lpstr>
      <vt:lpstr>DCF (CCF)</vt:lpstr>
      <vt:lpstr>DCF (Pro-forma)</vt:lpstr>
      <vt:lpstr>Long Term GR </vt:lpstr>
      <vt:lpstr>Recommendation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Mohammad Mustak Absar Khan</cp:lastModifiedBy>
  <dcterms:created xsi:type="dcterms:W3CDTF">2021-01-08T15:57:33Z</dcterms:created>
  <dcterms:modified xsi:type="dcterms:W3CDTF">2021-07-12T04:54:28Z</dcterms:modified>
</cp:coreProperties>
</file>